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isabelle\Downloads\"/>
    </mc:Choice>
  </mc:AlternateContent>
  <bookViews>
    <workbookView xWindow="0" yWindow="0" windowWidth="25600" windowHeight="10240"/>
  </bookViews>
  <sheets>
    <sheet name="Judicatory Coverage WI" sheetId="1" r:id="rId1"/>
    <sheet name="Data Collection" sheetId="2" r:id="rId2"/>
    <sheet name="Dashboard" sheetId="3" r:id="rId3"/>
    <sheet name="County Overlap Map" sheetId="4" r:id="rId4"/>
    <sheet name="Overlap Contacts" sheetId="5" r:id="rId5"/>
    <sheet name="Judicatory Profiles" sheetId="6" r:id="rId6"/>
    <sheet name="Charts" sheetId="7" r:id="rId7"/>
    <sheet name="Add New Member" sheetId="8" r:id="rId8"/>
    <sheet name="🤝 Overlap Pairs" sheetId="9" state="hidden" r:id="rId9"/>
    <sheet name="Data" sheetId="10" r:id="rId10"/>
  </sheets>
  <calcPr calcId="162913"/>
  <extLst>
    <ext uri="GoogleSheetsCustomDataVersion2">
      <go:sheetsCustomData xmlns:go="http://customooxmlschemas.google.com/" r:id="rId14" roundtripDataChecksum="7vX/HUYktAC6LdZ6PorkVE7/CG9wkTyV4cFYFDxFo1Q="/>
    </ext>
  </extLst>
</workbook>
</file>

<file path=xl/calcChain.xml><?xml version="1.0" encoding="utf-8"?>
<calcChain xmlns="http://schemas.openxmlformats.org/spreadsheetml/2006/main">
  <c r="D61" i="10" l="1"/>
  <c r="D60" i="10"/>
  <c r="D59" i="10"/>
  <c r="D58" i="10"/>
  <c r="D57" i="10"/>
  <c r="D56" i="10"/>
  <c r="D55" i="10"/>
  <c r="D54" i="10"/>
  <c r="D53" i="10"/>
  <c r="D52" i="10"/>
  <c r="D51" i="10"/>
  <c r="D50" i="10"/>
  <c r="D49" i="10"/>
  <c r="D48" i="10"/>
  <c r="D47" i="10"/>
  <c r="D46" i="10"/>
  <c r="D45" i="10"/>
  <c r="D44" i="10"/>
  <c r="D43" i="10"/>
  <c r="D42" i="10"/>
  <c r="E48" i="8" s="1"/>
  <c r="D41" i="10"/>
  <c r="D40" i="10"/>
  <c r="E46" i="8" s="1"/>
  <c r="D39" i="10"/>
  <c r="D38" i="10"/>
  <c r="D37" i="10"/>
  <c r="D36" i="10"/>
  <c r="D35" i="10"/>
  <c r="D34" i="10"/>
  <c r="E40" i="8" s="1"/>
  <c r="D33" i="10"/>
  <c r="D32" i="10"/>
  <c r="E38" i="8" s="1"/>
  <c r="D31" i="10"/>
  <c r="D30" i="10"/>
  <c r="D29" i="10"/>
  <c r="D28" i="10"/>
  <c r="D27" i="10"/>
  <c r="D26" i="10"/>
  <c r="E32" i="8" s="1"/>
  <c r="D25" i="10"/>
  <c r="D24" i="10"/>
  <c r="E30" i="8" s="1"/>
  <c r="D23" i="10"/>
  <c r="D22" i="10"/>
  <c r="D21" i="10"/>
  <c r="D20" i="10"/>
  <c r="D19" i="10"/>
  <c r="D18" i="10"/>
  <c r="E24" i="8" s="1"/>
  <c r="D17" i="10"/>
  <c r="D16" i="10"/>
  <c r="E22" i="8" s="1"/>
  <c r="D15" i="10"/>
  <c r="D14" i="10"/>
  <c r="D13" i="10"/>
  <c r="D12" i="10"/>
  <c r="D11" i="10"/>
  <c r="D10" i="10"/>
  <c r="E16" i="8" s="1"/>
  <c r="D9" i="10"/>
  <c r="D8" i="10"/>
  <c r="E14" i="8" s="1"/>
  <c r="D7" i="10"/>
  <c r="D6" i="10"/>
  <c r="D5" i="10"/>
  <c r="D4" i="10"/>
  <c r="D3" i="10"/>
  <c r="D2" i="10"/>
  <c r="E8" i="8" s="1"/>
  <c r="E358" i="9"/>
  <c r="D358" i="9"/>
  <c r="C358" i="9"/>
  <c r="B358" i="9"/>
  <c r="E357" i="9"/>
  <c r="D357" i="9"/>
  <c r="C357" i="9"/>
  <c r="B357" i="9"/>
  <c r="E356" i="9"/>
  <c r="D356" i="9"/>
  <c r="C356" i="9"/>
  <c r="B356" i="9"/>
  <c r="E355" i="9"/>
  <c r="D355" i="9"/>
  <c r="C355" i="9"/>
  <c r="B355" i="9"/>
  <c r="E354" i="9"/>
  <c r="D354" i="9"/>
  <c r="C354" i="9"/>
  <c r="B354" i="9"/>
  <c r="E353" i="9"/>
  <c r="D353" i="9"/>
  <c r="C353" i="9"/>
  <c r="B353" i="9"/>
  <c r="E352" i="9"/>
  <c r="D352" i="9"/>
  <c r="C352" i="9"/>
  <c r="B352" i="9"/>
  <c r="E351" i="9"/>
  <c r="D351" i="9"/>
  <c r="C351" i="9"/>
  <c r="B351" i="9"/>
  <c r="E350" i="9"/>
  <c r="D350" i="9"/>
  <c r="C350" i="9"/>
  <c r="B350" i="9"/>
  <c r="E349" i="9"/>
  <c r="D349" i="9"/>
  <c r="C349" i="9"/>
  <c r="B349" i="9"/>
  <c r="E348" i="9"/>
  <c r="D348" i="9"/>
  <c r="C348" i="9"/>
  <c r="B348" i="9"/>
  <c r="E347" i="9"/>
  <c r="D347" i="9"/>
  <c r="C347" i="9"/>
  <c r="B347" i="9"/>
  <c r="E346" i="9"/>
  <c r="D346" i="9"/>
  <c r="C346" i="9"/>
  <c r="B346" i="9"/>
  <c r="E345" i="9"/>
  <c r="D345" i="9"/>
  <c r="C345" i="9"/>
  <c r="B345" i="9"/>
  <c r="E344" i="9"/>
  <c r="D344" i="9"/>
  <c r="C344" i="9"/>
  <c r="B344" i="9"/>
  <c r="E343" i="9"/>
  <c r="D343" i="9"/>
  <c r="C343" i="9"/>
  <c r="B343" i="9"/>
  <c r="E342" i="9"/>
  <c r="D342" i="9"/>
  <c r="C342" i="9"/>
  <c r="B342" i="9"/>
  <c r="E341" i="9"/>
  <c r="D341" i="9"/>
  <c r="C341" i="9"/>
  <c r="B341" i="9"/>
  <c r="E340" i="9"/>
  <c r="D340" i="9"/>
  <c r="C340" i="9"/>
  <c r="B340" i="9"/>
  <c r="E339" i="9"/>
  <c r="D339" i="9"/>
  <c r="C339" i="9"/>
  <c r="B339" i="9"/>
  <c r="E338" i="9"/>
  <c r="D338" i="9"/>
  <c r="C338" i="9"/>
  <c r="B338" i="9"/>
  <c r="E337" i="9"/>
  <c r="D337" i="9"/>
  <c r="C337" i="9"/>
  <c r="B337" i="9"/>
  <c r="E336" i="9"/>
  <c r="D336" i="9"/>
  <c r="C336" i="9"/>
  <c r="B336" i="9"/>
  <c r="E335" i="9"/>
  <c r="D335" i="9"/>
  <c r="C335" i="9"/>
  <c r="B335" i="9"/>
  <c r="E334" i="9"/>
  <c r="D334" i="9"/>
  <c r="C334" i="9"/>
  <c r="B334" i="9"/>
  <c r="E333" i="9"/>
  <c r="D333" i="9"/>
  <c r="C333" i="9"/>
  <c r="B333" i="9"/>
  <c r="E332" i="9"/>
  <c r="D332" i="9"/>
  <c r="C332" i="9"/>
  <c r="B332" i="9"/>
  <c r="E331" i="9"/>
  <c r="D331" i="9"/>
  <c r="C331" i="9"/>
  <c r="B331" i="9"/>
  <c r="E330" i="9"/>
  <c r="D330" i="9"/>
  <c r="C330" i="9"/>
  <c r="B330" i="9"/>
  <c r="E329" i="9"/>
  <c r="D329" i="9"/>
  <c r="C329" i="9"/>
  <c r="B329" i="9"/>
  <c r="E328" i="9"/>
  <c r="D328" i="9"/>
  <c r="C328" i="9"/>
  <c r="B328" i="9"/>
  <c r="E327" i="9"/>
  <c r="D327" i="9"/>
  <c r="C327" i="9"/>
  <c r="B327" i="9"/>
  <c r="E326" i="9"/>
  <c r="D326" i="9"/>
  <c r="C326" i="9"/>
  <c r="B326" i="9"/>
  <c r="E325" i="9"/>
  <c r="D325" i="9"/>
  <c r="C325" i="9"/>
  <c r="B325" i="9"/>
  <c r="E324" i="9"/>
  <c r="D324" i="9"/>
  <c r="C324" i="9"/>
  <c r="B324" i="9"/>
  <c r="E323" i="9"/>
  <c r="D323" i="9"/>
  <c r="C323" i="9"/>
  <c r="B323" i="9"/>
  <c r="E322" i="9"/>
  <c r="D322" i="9"/>
  <c r="C322" i="9"/>
  <c r="B322" i="9"/>
  <c r="E321" i="9"/>
  <c r="D321" i="9"/>
  <c r="C321" i="9"/>
  <c r="B321" i="9"/>
  <c r="E320" i="9"/>
  <c r="D320" i="9"/>
  <c r="C320" i="9"/>
  <c r="B320" i="9"/>
  <c r="E319" i="9"/>
  <c r="D319" i="9"/>
  <c r="C319" i="9"/>
  <c r="B319" i="9"/>
  <c r="E318" i="9"/>
  <c r="D318" i="9"/>
  <c r="C318" i="9"/>
  <c r="B318" i="9"/>
  <c r="E317" i="9"/>
  <c r="D317" i="9"/>
  <c r="C317" i="9"/>
  <c r="B317" i="9"/>
  <c r="E316" i="9"/>
  <c r="D316" i="9"/>
  <c r="C316" i="9"/>
  <c r="B316" i="9"/>
  <c r="E315" i="9"/>
  <c r="D315" i="9"/>
  <c r="C315" i="9"/>
  <c r="B315" i="9"/>
  <c r="E314" i="9"/>
  <c r="D314" i="9"/>
  <c r="C314" i="9"/>
  <c r="B314" i="9"/>
  <c r="E313" i="9"/>
  <c r="D313" i="9"/>
  <c r="C313" i="9"/>
  <c r="B313" i="9"/>
  <c r="E312" i="9"/>
  <c r="D312" i="9"/>
  <c r="C312" i="9"/>
  <c r="B312" i="9"/>
  <c r="E311" i="9"/>
  <c r="D311" i="9"/>
  <c r="C311" i="9"/>
  <c r="B311" i="9"/>
  <c r="E310" i="9"/>
  <c r="D310" i="9"/>
  <c r="C310" i="9"/>
  <c r="B310" i="9"/>
  <c r="E309" i="9"/>
  <c r="D309" i="9"/>
  <c r="C309" i="9"/>
  <c r="B309" i="9"/>
  <c r="E308" i="9"/>
  <c r="D308" i="9"/>
  <c r="C308" i="9"/>
  <c r="B308" i="9"/>
  <c r="E307" i="9"/>
  <c r="D307" i="9"/>
  <c r="C307" i="9"/>
  <c r="B307" i="9"/>
  <c r="E306" i="9"/>
  <c r="D306" i="9"/>
  <c r="C306" i="9"/>
  <c r="B306" i="9"/>
  <c r="E305" i="9"/>
  <c r="D305" i="9"/>
  <c r="C305" i="9"/>
  <c r="B305" i="9"/>
  <c r="E304" i="9"/>
  <c r="D304" i="9"/>
  <c r="C304" i="9"/>
  <c r="B304" i="9"/>
  <c r="E303" i="9"/>
  <c r="D303" i="9"/>
  <c r="C303" i="9"/>
  <c r="B303" i="9"/>
  <c r="E302" i="9"/>
  <c r="D302" i="9"/>
  <c r="C302" i="9"/>
  <c r="B302" i="9"/>
  <c r="E301" i="9"/>
  <c r="D301" i="9"/>
  <c r="C301" i="9"/>
  <c r="B301" i="9"/>
  <c r="E300" i="9"/>
  <c r="D300" i="9"/>
  <c r="C300" i="9"/>
  <c r="B300" i="9"/>
  <c r="E299" i="9"/>
  <c r="D299" i="9"/>
  <c r="C299" i="9"/>
  <c r="B299" i="9"/>
  <c r="E298" i="9"/>
  <c r="D298" i="9"/>
  <c r="C298" i="9"/>
  <c r="B298" i="9"/>
  <c r="E297" i="9"/>
  <c r="D297" i="9"/>
  <c r="C297" i="9"/>
  <c r="B297" i="9"/>
  <c r="E296" i="9"/>
  <c r="D296" i="9"/>
  <c r="C296" i="9"/>
  <c r="B296" i="9"/>
  <c r="E295" i="9"/>
  <c r="D295" i="9"/>
  <c r="C295" i="9"/>
  <c r="B295" i="9"/>
  <c r="E294" i="9"/>
  <c r="D294" i="9"/>
  <c r="C294" i="9"/>
  <c r="B294" i="9"/>
  <c r="E293" i="9"/>
  <c r="D293" i="9"/>
  <c r="C293" i="9"/>
  <c r="B293" i="9"/>
  <c r="E292" i="9"/>
  <c r="D292" i="9"/>
  <c r="C292" i="9"/>
  <c r="B292" i="9"/>
  <c r="E291" i="9"/>
  <c r="D291" i="9"/>
  <c r="C291" i="9"/>
  <c r="B291" i="9"/>
  <c r="E290" i="9"/>
  <c r="D290" i="9"/>
  <c r="C290" i="9"/>
  <c r="B290" i="9"/>
  <c r="E289" i="9"/>
  <c r="D289" i="9"/>
  <c r="C289" i="9"/>
  <c r="B289" i="9"/>
  <c r="E288" i="9"/>
  <c r="D288" i="9"/>
  <c r="C288" i="9"/>
  <c r="B288" i="9"/>
  <c r="E287" i="9"/>
  <c r="D287" i="9"/>
  <c r="C287" i="9"/>
  <c r="B287" i="9"/>
  <c r="E286" i="9"/>
  <c r="D286" i="9"/>
  <c r="C286" i="9"/>
  <c r="B286" i="9"/>
  <c r="E285" i="9"/>
  <c r="D285" i="9"/>
  <c r="C285" i="9"/>
  <c r="B285" i="9"/>
  <c r="E284" i="9"/>
  <c r="D284" i="9"/>
  <c r="C284" i="9"/>
  <c r="B284" i="9"/>
  <c r="E283" i="9"/>
  <c r="D283" i="9"/>
  <c r="C283" i="9"/>
  <c r="B283" i="9"/>
  <c r="E282" i="9"/>
  <c r="D282" i="9"/>
  <c r="C282" i="9"/>
  <c r="B282" i="9"/>
  <c r="E281" i="9"/>
  <c r="D281" i="9"/>
  <c r="C281" i="9"/>
  <c r="B281" i="9"/>
  <c r="E280" i="9"/>
  <c r="D280" i="9"/>
  <c r="C280" i="9"/>
  <c r="B280" i="9"/>
  <c r="E279" i="9"/>
  <c r="D279" i="9"/>
  <c r="C279" i="9"/>
  <c r="B279" i="9"/>
  <c r="E278" i="9"/>
  <c r="D278" i="9"/>
  <c r="C278" i="9"/>
  <c r="B278" i="9"/>
  <c r="E277" i="9"/>
  <c r="D277" i="9"/>
  <c r="C277" i="9"/>
  <c r="B277" i="9"/>
  <c r="E276" i="9"/>
  <c r="D276" i="9"/>
  <c r="C276" i="9"/>
  <c r="B276" i="9"/>
  <c r="E275" i="9"/>
  <c r="D275" i="9"/>
  <c r="C275" i="9"/>
  <c r="B275" i="9"/>
  <c r="E274" i="9"/>
  <c r="D274" i="9"/>
  <c r="C274" i="9"/>
  <c r="B274" i="9"/>
  <c r="E273" i="9"/>
  <c r="D273" i="9"/>
  <c r="C273" i="9"/>
  <c r="B273" i="9"/>
  <c r="E272" i="9"/>
  <c r="D272" i="9"/>
  <c r="C272" i="9"/>
  <c r="B272" i="9"/>
  <c r="E271" i="9"/>
  <c r="D271" i="9"/>
  <c r="C271" i="9"/>
  <c r="B271" i="9"/>
  <c r="E270" i="9"/>
  <c r="D270" i="9"/>
  <c r="C270" i="9"/>
  <c r="B270" i="9"/>
  <c r="E269" i="9"/>
  <c r="D269" i="9"/>
  <c r="C269" i="9"/>
  <c r="B269" i="9"/>
  <c r="E268" i="9"/>
  <c r="D268" i="9"/>
  <c r="C268" i="9"/>
  <c r="B268" i="9"/>
  <c r="E267" i="9"/>
  <c r="D267" i="9"/>
  <c r="C267" i="9"/>
  <c r="B267" i="9"/>
  <c r="E266" i="9"/>
  <c r="D266" i="9"/>
  <c r="C266" i="9"/>
  <c r="B266" i="9"/>
  <c r="E265" i="9"/>
  <c r="D265" i="9"/>
  <c r="C265" i="9"/>
  <c r="B265" i="9"/>
  <c r="E264" i="9"/>
  <c r="D264" i="9"/>
  <c r="C264" i="9"/>
  <c r="B264" i="9"/>
  <c r="E263" i="9"/>
  <c r="D263" i="9"/>
  <c r="C263" i="9"/>
  <c r="B263" i="9"/>
  <c r="E262" i="9"/>
  <c r="D262" i="9"/>
  <c r="C262" i="9"/>
  <c r="B262" i="9"/>
  <c r="E261" i="9"/>
  <c r="D261" i="9"/>
  <c r="C261" i="9"/>
  <c r="B261" i="9"/>
  <c r="E260" i="9"/>
  <c r="D260" i="9"/>
  <c r="C260" i="9"/>
  <c r="B260" i="9"/>
  <c r="E259" i="9"/>
  <c r="D259" i="9"/>
  <c r="C259" i="9"/>
  <c r="B259" i="9"/>
  <c r="E258" i="9"/>
  <c r="D258" i="9"/>
  <c r="C258" i="9"/>
  <c r="B258" i="9"/>
  <c r="E257" i="9"/>
  <c r="D257" i="9"/>
  <c r="C257" i="9"/>
  <c r="B257" i="9"/>
  <c r="E256" i="9"/>
  <c r="D256" i="9"/>
  <c r="C256" i="9"/>
  <c r="B256" i="9"/>
  <c r="E255" i="9"/>
  <c r="D255" i="9"/>
  <c r="C255" i="9"/>
  <c r="B255" i="9"/>
  <c r="E254" i="9"/>
  <c r="D254" i="9"/>
  <c r="C254" i="9"/>
  <c r="B254" i="9"/>
  <c r="E253" i="9"/>
  <c r="D253" i="9"/>
  <c r="C253" i="9"/>
  <c r="B253" i="9"/>
  <c r="E252" i="9"/>
  <c r="D252" i="9"/>
  <c r="C252" i="9"/>
  <c r="B252" i="9"/>
  <c r="E251" i="9"/>
  <c r="D251" i="9"/>
  <c r="C251" i="9"/>
  <c r="B251" i="9"/>
  <c r="E250" i="9"/>
  <c r="D250" i="9"/>
  <c r="C250" i="9"/>
  <c r="B250" i="9"/>
  <c r="E249" i="9"/>
  <c r="D249" i="9"/>
  <c r="C249" i="9"/>
  <c r="B249" i="9"/>
  <c r="E248" i="9"/>
  <c r="D248" i="9"/>
  <c r="C248" i="9"/>
  <c r="B248" i="9"/>
  <c r="E247" i="9"/>
  <c r="D247" i="9"/>
  <c r="C247" i="9"/>
  <c r="B247" i="9"/>
  <c r="E246" i="9"/>
  <c r="D246" i="9"/>
  <c r="C246" i="9"/>
  <c r="B246" i="9"/>
  <c r="E245" i="9"/>
  <c r="D245" i="9"/>
  <c r="C245" i="9"/>
  <c r="B245" i="9"/>
  <c r="E244" i="9"/>
  <c r="D244" i="9"/>
  <c r="C244" i="9"/>
  <c r="B244" i="9"/>
  <c r="E243" i="9"/>
  <c r="D243" i="9"/>
  <c r="C243" i="9"/>
  <c r="B243" i="9"/>
  <c r="E242" i="9"/>
  <c r="D242" i="9"/>
  <c r="C242" i="9"/>
  <c r="B242" i="9"/>
  <c r="E241" i="9"/>
  <c r="D241" i="9"/>
  <c r="C241" i="9"/>
  <c r="B241" i="9"/>
  <c r="E240" i="9"/>
  <c r="D240" i="9"/>
  <c r="C240" i="9"/>
  <c r="B240" i="9"/>
  <c r="E239" i="9"/>
  <c r="D239" i="9"/>
  <c r="C239" i="9"/>
  <c r="B239" i="9"/>
  <c r="E238" i="9"/>
  <c r="D238" i="9"/>
  <c r="C238" i="9"/>
  <c r="B238" i="9"/>
  <c r="E237" i="9"/>
  <c r="D237" i="9"/>
  <c r="C237" i="9"/>
  <c r="B237" i="9"/>
  <c r="E236" i="9"/>
  <c r="D236" i="9"/>
  <c r="C236" i="9"/>
  <c r="B236" i="9"/>
  <c r="E235" i="9"/>
  <c r="D235" i="9"/>
  <c r="C235" i="9"/>
  <c r="B235" i="9"/>
  <c r="E234" i="9"/>
  <c r="D234" i="9"/>
  <c r="C234" i="9"/>
  <c r="B234" i="9"/>
  <c r="E233" i="9"/>
  <c r="D233" i="9"/>
  <c r="C233" i="9"/>
  <c r="B233" i="9"/>
  <c r="E232" i="9"/>
  <c r="D232" i="9"/>
  <c r="C232" i="9"/>
  <c r="B232" i="9"/>
  <c r="E231" i="9"/>
  <c r="D231" i="9"/>
  <c r="C231" i="9"/>
  <c r="B231" i="9"/>
  <c r="E230" i="9"/>
  <c r="D230" i="9"/>
  <c r="C230" i="9"/>
  <c r="B230" i="9"/>
  <c r="E229" i="9"/>
  <c r="D229" i="9"/>
  <c r="C229" i="9"/>
  <c r="B229" i="9"/>
  <c r="E228" i="9"/>
  <c r="D228" i="9"/>
  <c r="C228" i="9"/>
  <c r="B228" i="9"/>
  <c r="E227" i="9"/>
  <c r="D227" i="9"/>
  <c r="C227" i="9"/>
  <c r="B227" i="9"/>
  <c r="E226" i="9"/>
  <c r="D226" i="9"/>
  <c r="C226" i="9"/>
  <c r="B226" i="9"/>
  <c r="E225" i="9"/>
  <c r="D225" i="9"/>
  <c r="C225" i="9"/>
  <c r="B225" i="9"/>
  <c r="E224" i="9"/>
  <c r="D224" i="9"/>
  <c r="C224" i="9"/>
  <c r="B224" i="9"/>
  <c r="E223" i="9"/>
  <c r="D223" i="9"/>
  <c r="C223" i="9"/>
  <c r="B223" i="9"/>
  <c r="E222" i="9"/>
  <c r="D222" i="9"/>
  <c r="C222" i="9"/>
  <c r="B222" i="9"/>
  <c r="E221" i="9"/>
  <c r="D221" i="9"/>
  <c r="C221" i="9"/>
  <c r="B221" i="9"/>
  <c r="E220" i="9"/>
  <c r="D220" i="9"/>
  <c r="C220" i="9"/>
  <c r="B220" i="9"/>
  <c r="E219" i="9"/>
  <c r="D219" i="9"/>
  <c r="C219" i="9"/>
  <c r="B219" i="9"/>
  <c r="E218" i="9"/>
  <c r="D218" i="9"/>
  <c r="C218" i="9"/>
  <c r="B218" i="9"/>
  <c r="E217" i="9"/>
  <c r="D217" i="9"/>
  <c r="C217" i="9"/>
  <c r="B217" i="9"/>
  <c r="E216" i="9"/>
  <c r="D216" i="9"/>
  <c r="C216" i="9"/>
  <c r="B216" i="9"/>
  <c r="E215" i="9"/>
  <c r="D215" i="9"/>
  <c r="C215" i="9"/>
  <c r="B215" i="9"/>
  <c r="E214" i="9"/>
  <c r="D214" i="9"/>
  <c r="C214" i="9"/>
  <c r="B214" i="9"/>
  <c r="E213" i="9"/>
  <c r="D213" i="9"/>
  <c r="C213" i="9"/>
  <c r="B213" i="9"/>
  <c r="E212" i="9"/>
  <c r="D212" i="9"/>
  <c r="C212" i="9"/>
  <c r="B212" i="9"/>
  <c r="E211" i="9"/>
  <c r="D211" i="9"/>
  <c r="C211" i="9"/>
  <c r="B211" i="9"/>
  <c r="E210" i="9"/>
  <c r="D210" i="9"/>
  <c r="C210" i="9"/>
  <c r="B210" i="9"/>
  <c r="E209" i="9"/>
  <c r="D209" i="9"/>
  <c r="C209" i="9"/>
  <c r="B209" i="9"/>
  <c r="E208" i="9"/>
  <c r="D208" i="9"/>
  <c r="C208" i="9"/>
  <c r="B208" i="9"/>
  <c r="E207" i="9"/>
  <c r="D207" i="9"/>
  <c r="C207" i="9"/>
  <c r="B207" i="9"/>
  <c r="E206" i="9"/>
  <c r="D206" i="9"/>
  <c r="C206" i="9"/>
  <c r="B206" i="9"/>
  <c r="E205" i="9"/>
  <c r="D205" i="9"/>
  <c r="C205" i="9"/>
  <c r="B205" i="9"/>
  <c r="E204" i="9"/>
  <c r="D204" i="9"/>
  <c r="C204" i="9"/>
  <c r="B204" i="9"/>
  <c r="E203" i="9"/>
  <c r="D203" i="9"/>
  <c r="C203" i="9"/>
  <c r="B203" i="9"/>
  <c r="E202" i="9"/>
  <c r="D202" i="9"/>
  <c r="C202" i="9"/>
  <c r="B202" i="9"/>
  <c r="E201" i="9"/>
  <c r="D201" i="9"/>
  <c r="C201" i="9"/>
  <c r="B201" i="9"/>
  <c r="E200" i="9"/>
  <c r="D200" i="9"/>
  <c r="C200" i="9"/>
  <c r="B200" i="9"/>
  <c r="E199" i="9"/>
  <c r="D199" i="9"/>
  <c r="C199" i="9"/>
  <c r="B199" i="9"/>
  <c r="E198" i="9"/>
  <c r="D198" i="9"/>
  <c r="C198" i="9"/>
  <c r="B198" i="9"/>
  <c r="E197" i="9"/>
  <c r="D197" i="9"/>
  <c r="C197" i="9"/>
  <c r="B197" i="9"/>
  <c r="E196" i="9"/>
  <c r="D196" i="9"/>
  <c r="C196" i="9"/>
  <c r="B196" i="9"/>
  <c r="E195" i="9"/>
  <c r="D195" i="9"/>
  <c r="C195" i="9"/>
  <c r="B195" i="9"/>
  <c r="E194" i="9"/>
  <c r="D194" i="9"/>
  <c r="C194" i="9"/>
  <c r="B194" i="9"/>
  <c r="E193" i="9"/>
  <c r="D193" i="9"/>
  <c r="C193" i="9"/>
  <c r="B193" i="9"/>
  <c r="E192" i="9"/>
  <c r="D192" i="9"/>
  <c r="C192" i="9"/>
  <c r="B192" i="9"/>
  <c r="E191" i="9"/>
  <c r="D191" i="9"/>
  <c r="C191" i="9"/>
  <c r="B191" i="9"/>
  <c r="E190" i="9"/>
  <c r="D190" i="9"/>
  <c r="C190" i="9"/>
  <c r="B190" i="9"/>
  <c r="E189" i="9"/>
  <c r="D189" i="9"/>
  <c r="C189" i="9"/>
  <c r="B189" i="9"/>
  <c r="E188" i="9"/>
  <c r="D188" i="9"/>
  <c r="C188" i="9"/>
  <c r="B188" i="9"/>
  <c r="E187" i="9"/>
  <c r="D187" i="9"/>
  <c r="C187" i="9"/>
  <c r="B187" i="9"/>
  <c r="E186" i="9"/>
  <c r="D186" i="9"/>
  <c r="C186" i="9"/>
  <c r="B186" i="9"/>
  <c r="E185" i="9"/>
  <c r="D185" i="9"/>
  <c r="C185" i="9"/>
  <c r="B185" i="9"/>
  <c r="E184" i="9"/>
  <c r="D184" i="9"/>
  <c r="C184" i="9"/>
  <c r="B184" i="9"/>
  <c r="E183" i="9"/>
  <c r="D183" i="9"/>
  <c r="C183" i="9"/>
  <c r="B183" i="9"/>
  <c r="E182" i="9"/>
  <c r="D182" i="9"/>
  <c r="C182" i="9"/>
  <c r="B182" i="9"/>
  <c r="E181" i="9"/>
  <c r="D181" i="9"/>
  <c r="C181" i="9"/>
  <c r="B181" i="9"/>
  <c r="E180" i="9"/>
  <c r="D180" i="9"/>
  <c r="C180" i="9"/>
  <c r="B180" i="9"/>
  <c r="E179" i="9"/>
  <c r="D179" i="9"/>
  <c r="C179" i="9"/>
  <c r="B179" i="9"/>
  <c r="E178" i="9"/>
  <c r="D178" i="9"/>
  <c r="C178" i="9"/>
  <c r="B178" i="9"/>
  <c r="E177" i="9"/>
  <c r="D177" i="9"/>
  <c r="C177" i="9"/>
  <c r="B177" i="9"/>
  <c r="E176" i="9"/>
  <c r="D176" i="9"/>
  <c r="C176" i="9"/>
  <c r="B176" i="9"/>
  <c r="E175" i="9"/>
  <c r="D175" i="9"/>
  <c r="C175" i="9"/>
  <c r="B175" i="9"/>
  <c r="E174" i="9"/>
  <c r="D174" i="9"/>
  <c r="C174" i="9"/>
  <c r="B174" i="9"/>
  <c r="E173" i="9"/>
  <c r="D173" i="9"/>
  <c r="C173" i="9"/>
  <c r="B173" i="9"/>
  <c r="E172" i="9"/>
  <c r="D172" i="9"/>
  <c r="C172" i="9"/>
  <c r="B172" i="9"/>
  <c r="E171" i="9"/>
  <c r="D171" i="9"/>
  <c r="C171" i="9"/>
  <c r="B171" i="9"/>
  <c r="E170" i="9"/>
  <c r="D170" i="9"/>
  <c r="C170" i="9"/>
  <c r="B170" i="9"/>
  <c r="E169" i="9"/>
  <c r="D169" i="9"/>
  <c r="C169" i="9"/>
  <c r="B169" i="9"/>
  <c r="E168" i="9"/>
  <c r="D168" i="9"/>
  <c r="C168" i="9"/>
  <c r="B168" i="9"/>
  <c r="E167" i="9"/>
  <c r="D167" i="9"/>
  <c r="C167" i="9"/>
  <c r="B167" i="9"/>
  <c r="E166" i="9"/>
  <c r="D166" i="9"/>
  <c r="C166" i="9"/>
  <c r="B166" i="9"/>
  <c r="E165" i="9"/>
  <c r="D165" i="9"/>
  <c r="C165" i="9"/>
  <c r="B165" i="9"/>
  <c r="E164" i="9"/>
  <c r="D164" i="9"/>
  <c r="C164" i="9"/>
  <c r="B164" i="9"/>
  <c r="E163" i="9"/>
  <c r="D163" i="9"/>
  <c r="C163" i="9"/>
  <c r="B163" i="9"/>
  <c r="E162" i="9"/>
  <c r="D162" i="9"/>
  <c r="C162" i="9"/>
  <c r="B162" i="9"/>
  <c r="E161" i="9"/>
  <c r="D161" i="9"/>
  <c r="C161" i="9"/>
  <c r="B161" i="9"/>
  <c r="E160" i="9"/>
  <c r="D160" i="9"/>
  <c r="C160" i="9"/>
  <c r="B160" i="9"/>
  <c r="E159" i="9"/>
  <c r="D159" i="9"/>
  <c r="C159" i="9"/>
  <c r="B159" i="9"/>
  <c r="E158" i="9"/>
  <c r="D158" i="9"/>
  <c r="C158" i="9"/>
  <c r="B158" i="9"/>
  <c r="E157" i="9"/>
  <c r="D157" i="9"/>
  <c r="C157" i="9"/>
  <c r="B157" i="9"/>
  <c r="E156" i="9"/>
  <c r="D156" i="9"/>
  <c r="C156" i="9"/>
  <c r="B156" i="9"/>
  <c r="E155" i="9"/>
  <c r="D155" i="9"/>
  <c r="C155" i="9"/>
  <c r="B155" i="9"/>
  <c r="E154" i="9"/>
  <c r="D154" i="9"/>
  <c r="C154" i="9"/>
  <c r="B154" i="9"/>
  <c r="E153" i="9"/>
  <c r="D153" i="9"/>
  <c r="C153" i="9"/>
  <c r="B153" i="9"/>
  <c r="E152" i="9"/>
  <c r="D152" i="9"/>
  <c r="C152" i="9"/>
  <c r="B152" i="9"/>
  <c r="E151" i="9"/>
  <c r="D151" i="9"/>
  <c r="C151" i="9"/>
  <c r="B151" i="9"/>
  <c r="E150" i="9"/>
  <c r="D150" i="9"/>
  <c r="C150" i="9"/>
  <c r="B150" i="9"/>
  <c r="E149" i="9"/>
  <c r="D149" i="9"/>
  <c r="C149" i="9"/>
  <c r="B149" i="9"/>
  <c r="E148" i="9"/>
  <c r="D148" i="9"/>
  <c r="C148" i="9"/>
  <c r="B148" i="9"/>
  <c r="E147" i="9"/>
  <c r="D147" i="9"/>
  <c r="C147" i="9"/>
  <c r="B147" i="9"/>
  <c r="E146" i="9"/>
  <c r="D146" i="9"/>
  <c r="C146" i="9"/>
  <c r="B146" i="9"/>
  <c r="E145" i="9"/>
  <c r="D145" i="9"/>
  <c r="C145" i="9"/>
  <c r="B145" i="9"/>
  <c r="E144" i="9"/>
  <c r="D144" i="9"/>
  <c r="C144" i="9"/>
  <c r="B144" i="9"/>
  <c r="E143" i="9"/>
  <c r="D143" i="9"/>
  <c r="C143" i="9"/>
  <c r="B143" i="9"/>
  <c r="E142" i="9"/>
  <c r="D142" i="9"/>
  <c r="C142" i="9"/>
  <c r="B142" i="9"/>
  <c r="E141" i="9"/>
  <c r="D141" i="9"/>
  <c r="C141" i="9"/>
  <c r="B141" i="9"/>
  <c r="E140" i="9"/>
  <c r="D140" i="9"/>
  <c r="C140" i="9"/>
  <c r="B140" i="9"/>
  <c r="E139" i="9"/>
  <c r="D139" i="9"/>
  <c r="C139" i="9"/>
  <c r="B139" i="9"/>
  <c r="E138" i="9"/>
  <c r="D138" i="9"/>
  <c r="C138" i="9"/>
  <c r="B138" i="9"/>
  <c r="E137" i="9"/>
  <c r="D137" i="9"/>
  <c r="C137" i="9"/>
  <c r="B137" i="9"/>
  <c r="E136" i="9"/>
  <c r="D136" i="9"/>
  <c r="C136" i="9"/>
  <c r="B136" i="9"/>
  <c r="E135" i="9"/>
  <c r="D135" i="9"/>
  <c r="C135" i="9"/>
  <c r="B135" i="9"/>
  <c r="E134" i="9"/>
  <c r="D134" i="9"/>
  <c r="C134" i="9"/>
  <c r="B134" i="9"/>
  <c r="E133" i="9"/>
  <c r="D133" i="9"/>
  <c r="C133" i="9"/>
  <c r="B133" i="9"/>
  <c r="E132" i="9"/>
  <c r="D132" i="9"/>
  <c r="C132" i="9"/>
  <c r="B132" i="9"/>
  <c r="E131" i="9"/>
  <c r="D131" i="9"/>
  <c r="C131" i="9"/>
  <c r="B131" i="9"/>
  <c r="E130" i="9"/>
  <c r="D130" i="9"/>
  <c r="C130" i="9"/>
  <c r="B130" i="9"/>
  <c r="E129" i="9"/>
  <c r="D129" i="9"/>
  <c r="C129" i="9"/>
  <c r="B129" i="9"/>
  <c r="E128" i="9"/>
  <c r="D128" i="9"/>
  <c r="C128" i="9"/>
  <c r="B128" i="9"/>
  <c r="E127" i="9"/>
  <c r="D127" i="9"/>
  <c r="C127" i="9"/>
  <c r="B127" i="9"/>
  <c r="E126" i="9"/>
  <c r="D126" i="9"/>
  <c r="C126" i="9"/>
  <c r="B126" i="9"/>
  <c r="E125" i="9"/>
  <c r="D125" i="9"/>
  <c r="C125" i="9"/>
  <c r="B125" i="9"/>
  <c r="E124" i="9"/>
  <c r="D124" i="9"/>
  <c r="C124" i="9"/>
  <c r="B124" i="9"/>
  <c r="E123" i="9"/>
  <c r="D123" i="9"/>
  <c r="C123" i="9"/>
  <c r="B123" i="9"/>
  <c r="E122" i="9"/>
  <c r="D122" i="9"/>
  <c r="C122" i="9"/>
  <c r="B122" i="9"/>
  <c r="E121" i="9"/>
  <c r="D121" i="9"/>
  <c r="C121" i="9"/>
  <c r="B121" i="9"/>
  <c r="E120" i="9"/>
  <c r="D120" i="9"/>
  <c r="C120" i="9"/>
  <c r="B120" i="9"/>
  <c r="E119" i="9"/>
  <c r="D119" i="9"/>
  <c r="C119" i="9"/>
  <c r="B119" i="9"/>
  <c r="E118" i="9"/>
  <c r="D118" i="9"/>
  <c r="C118" i="9"/>
  <c r="B118" i="9"/>
  <c r="E117" i="9"/>
  <c r="D117" i="9"/>
  <c r="C117" i="9"/>
  <c r="B117" i="9"/>
  <c r="E116" i="9"/>
  <c r="D116" i="9"/>
  <c r="C116" i="9"/>
  <c r="B116" i="9"/>
  <c r="E115" i="9"/>
  <c r="D115" i="9"/>
  <c r="C115" i="9"/>
  <c r="B115" i="9"/>
  <c r="E114" i="9"/>
  <c r="D114" i="9"/>
  <c r="C114" i="9"/>
  <c r="B114" i="9"/>
  <c r="E113" i="9"/>
  <c r="D113" i="9"/>
  <c r="C113" i="9"/>
  <c r="B113" i="9"/>
  <c r="E112" i="9"/>
  <c r="D112" i="9"/>
  <c r="C112" i="9"/>
  <c r="B112" i="9"/>
  <c r="E111" i="9"/>
  <c r="D111" i="9"/>
  <c r="C111" i="9"/>
  <c r="B111" i="9"/>
  <c r="E110" i="9"/>
  <c r="D110" i="9"/>
  <c r="C110" i="9"/>
  <c r="B110" i="9"/>
  <c r="E109" i="9"/>
  <c r="D109" i="9"/>
  <c r="C109" i="9"/>
  <c r="B109" i="9"/>
  <c r="E108" i="9"/>
  <c r="D108" i="9"/>
  <c r="C108" i="9"/>
  <c r="B108" i="9"/>
  <c r="E107" i="9"/>
  <c r="D107" i="9"/>
  <c r="C107" i="9"/>
  <c r="B107" i="9"/>
  <c r="E106" i="9"/>
  <c r="D106" i="9"/>
  <c r="C106" i="9"/>
  <c r="B106" i="9"/>
  <c r="E105" i="9"/>
  <c r="D105" i="9"/>
  <c r="C105" i="9"/>
  <c r="B105" i="9"/>
  <c r="E104" i="9"/>
  <c r="D104" i="9"/>
  <c r="C104" i="9"/>
  <c r="B104" i="9"/>
  <c r="E103" i="9"/>
  <c r="D103" i="9"/>
  <c r="C103" i="9"/>
  <c r="B103" i="9"/>
  <c r="E102" i="9"/>
  <c r="D102" i="9"/>
  <c r="C102" i="9"/>
  <c r="B102" i="9"/>
  <c r="E101" i="9"/>
  <c r="D101" i="9"/>
  <c r="C101" i="9"/>
  <c r="B101" i="9"/>
  <c r="E100" i="9"/>
  <c r="D100" i="9"/>
  <c r="C100" i="9"/>
  <c r="B100" i="9"/>
  <c r="E99" i="9"/>
  <c r="D99" i="9"/>
  <c r="C99" i="9"/>
  <c r="B99" i="9"/>
  <c r="E98" i="9"/>
  <c r="D98" i="9"/>
  <c r="C98" i="9"/>
  <c r="B98" i="9"/>
  <c r="E97" i="9"/>
  <c r="D97" i="9"/>
  <c r="C97" i="9"/>
  <c r="B97" i="9"/>
  <c r="E96" i="9"/>
  <c r="D96" i="9"/>
  <c r="C96" i="9"/>
  <c r="B96" i="9"/>
  <c r="E95" i="9"/>
  <c r="D95" i="9"/>
  <c r="C95" i="9"/>
  <c r="B95" i="9"/>
  <c r="E94" i="9"/>
  <c r="D94" i="9"/>
  <c r="C94" i="9"/>
  <c r="B94" i="9"/>
  <c r="E93" i="9"/>
  <c r="D93" i="9"/>
  <c r="C93" i="9"/>
  <c r="B93" i="9"/>
  <c r="E92" i="9"/>
  <c r="D92" i="9"/>
  <c r="C92" i="9"/>
  <c r="B92" i="9"/>
  <c r="E91" i="9"/>
  <c r="D91" i="9"/>
  <c r="C91" i="9"/>
  <c r="B91" i="9"/>
  <c r="E90" i="9"/>
  <c r="D90" i="9"/>
  <c r="C90" i="9"/>
  <c r="B90" i="9"/>
  <c r="E89" i="9"/>
  <c r="D89" i="9"/>
  <c r="C89" i="9"/>
  <c r="B89" i="9"/>
  <c r="E88" i="9"/>
  <c r="D88" i="9"/>
  <c r="C88" i="9"/>
  <c r="B88" i="9"/>
  <c r="E87" i="9"/>
  <c r="D87" i="9"/>
  <c r="C87" i="9"/>
  <c r="B87" i="9"/>
  <c r="E86" i="9"/>
  <c r="D86" i="9"/>
  <c r="C86" i="9"/>
  <c r="B86" i="9"/>
  <c r="E85" i="9"/>
  <c r="D85" i="9"/>
  <c r="C85" i="9"/>
  <c r="B85" i="9"/>
  <c r="E84" i="9"/>
  <c r="D84" i="9"/>
  <c r="C84" i="9"/>
  <c r="B84" i="9"/>
  <c r="E83" i="9"/>
  <c r="D83" i="9"/>
  <c r="C83" i="9"/>
  <c r="B83" i="9"/>
  <c r="E82" i="9"/>
  <c r="D82" i="9"/>
  <c r="C82" i="9"/>
  <c r="B82" i="9"/>
  <c r="E81" i="9"/>
  <c r="D81" i="9"/>
  <c r="C81" i="9"/>
  <c r="B81" i="9"/>
  <c r="E80" i="9"/>
  <c r="D80" i="9"/>
  <c r="C80" i="9"/>
  <c r="B80" i="9"/>
  <c r="E79" i="9"/>
  <c r="D79" i="9"/>
  <c r="C79" i="9"/>
  <c r="B79" i="9"/>
  <c r="E78" i="9"/>
  <c r="D78" i="9"/>
  <c r="C78" i="9"/>
  <c r="B78" i="9"/>
  <c r="E77" i="9"/>
  <c r="D77" i="9"/>
  <c r="C77" i="9"/>
  <c r="B77" i="9"/>
  <c r="E76" i="9"/>
  <c r="D76" i="9"/>
  <c r="C76" i="9"/>
  <c r="B76" i="9"/>
  <c r="E75" i="9"/>
  <c r="D75" i="9"/>
  <c r="C75" i="9"/>
  <c r="B75" i="9"/>
  <c r="E74" i="9"/>
  <c r="D74" i="9"/>
  <c r="C74" i="9"/>
  <c r="B74" i="9"/>
  <c r="E73" i="9"/>
  <c r="D73" i="9"/>
  <c r="C73" i="9"/>
  <c r="B73" i="9"/>
  <c r="E72" i="9"/>
  <c r="D72" i="9"/>
  <c r="C72" i="9"/>
  <c r="B72" i="9"/>
  <c r="E71" i="9"/>
  <c r="D71" i="9"/>
  <c r="C71" i="9"/>
  <c r="B71" i="9"/>
  <c r="E70" i="9"/>
  <c r="D70" i="9"/>
  <c r="C70" i="9"/>
  <c r="B70" i="9"/>
  <c r="E69" i="9"/>
  <c r="D69" i="9"/>
  <c r="C69" i="9"/>
  <c r="B69" i="9"/>
  <c r="E68" i="9"/>
  <c r="D68" i="9"/>
  <c r="C68" i="9"/>
  <c r="B68" i="9"/>
  <c r="E67" i="9"/>
  <c r="D67" i="9"/>
  <c r="C67" i="9"/>
  <c r="B67" i="9"/>
  <c r="E66" i="9"/>
  <c r="D66" i="9"/>
  <c r="C66" i="9"/>
  <c r="B66" i="9"/>
  <c r="E65" i="9"/>
  <c r="D65" i="9"/>
  <c r="C65" i="9"/>
  <c r="B65" i="9"/>
  <c r="E64" i="9"/>
  <c r="D64" i="9"/>
  <c r="C64" i="9"/>
  <c r="B64" i="9"/>
  <c r="E63" i="9"/>
  <c r="D63" i="9"/>
  <c r="C63" i="9"/>
  <c r="B63" i="9"/>
  <c r="E62" i="9"/>
  <c r="D62" i="9"/>
  <c r="C62" i="9"/>
  <c r="B62" i="9"/>
  <c r="E61" i="9"/>
  <c r="D61" i="9"/>
  <c r="C61" i="9"/>
  <c r="B61" i="9"/>
  <c r="E60" i="9"/>
  <c r="D60" i="9"/>
  <c r="C60" i="9"/>
  <c r="B60" i="9"/>
  <c r="E59" i="9"/>
  <c r="D59" i="9"/>
  <c r="C59" i="9"/>
  <c r="B59" i="9"/>
  <c r="E58" i="9"/>
  <c r="D58" i="9"/>
  <c r="C58" i="9"/>
  <c r="B58" i="9"/>
  <c r="E57" i="9"/>
  <c r="D57" i="9"/>
  <c r="C57" i="9"/>
  <c r="B57" i="9"/>
  <c r="E56" i="9"/>
  <c r="D56" i="9"/>
  <c r="C56" i="9"/>
  <c r="B56" i="9"/>
  <c r="E55" i="9"/>
  <c r="D55" i="9"/>
  <c r="C55" i="9"/>
  <c r="B55" i="9"/>
  <c r="E54" i="9"/>
  <c r="D54" i="9"/>
  <c r="C54" i="9"/>
  <c r="B54" i="9"/>
  <c r="E53" i="9"/>
  <c r="D53" i="9"/>
  <c r="C53" i="9"/>
  <c r="B53" i="9"/>
  <c r="E52" i="9"/>
  <c r="D52" i="9"/>
  <c r="C52" i="9"/>
  <c r="B52" i="9"/>
  <c r="E51" i="9"/>
  <c r="D51" i="9"/>
  <c r="C51" i="9"/>
  <c r="B51" i="9"/>
  <c r="E50" i="9"/>
  <c r="D50" i="9"/>
  <c r="C50" i="9"/>
  <c r="B50" i="9"/>
  <c r="E49" i="9"/>
  <c r="D49" i="9"/>
  <c r="C49" i="9"/>
  <c r="B49" i="9"/>
  <c r="E48" i="9"/>
  <c r="D48" i="9"/>
  <c r="C48" i="9"/>
  <c r="B48" i="9"/>
  <c r="E47" i="9"/>
  <c r="D47" i="9"/>
  <c r="C47" i="9"/>
  <c r="B47" i="9"/>
  <c r="E46" i="9"/>
  <c r="D46" i="9"/>
  <c r="C46" i="9"/>
  <c r="B46" i="9"/>
  <c r="E45" i="9"/>
  <c r="D45" i="9"/>
  <c r="C45" i="9"/>
  <c r="B45" i="9"/>
  <c r="E44" i="9"/>
  <c r="D44" i="9"/>
  <c r="C44" i="9"/>
  <c r="B44" i="9"/>
  <c r="E43" i="9"/>
  <c r="D43" i="9"/>
  <c r="C43" i="9"/>
  <c r="B43" i="9"/>
  <c r="E42" i="9"/>
  <c r="D42" i="9"/>
  <c r="C42" i="9"/>
  <c r="B42" i="9"/>
  <c r="E41" i="9"/>
  <c r="D41" i="9"/>
  <c r="C41" i="9"/>
  <c r="B41" i="9"/>
  <c r="E40" i="9"/>
  <c r="D40" i="9"/>
  <c r="C40" i="9"/>
  <c r="B40" i="9"/>
  <c r="E39" i="9"/>
  <c r="D39" i="9"/>
  <c r="C39" i="9"/>
  <c r="B39" i="9"/>
  <c r="E38" i="9"/>
  <c r="D38" i="9"/>
  <c r="C38" i="9"/>
  <c r="B38" i="9"/>
  <c r="E37" i="9"/>
  <c r="D37" i="9"/>
  <c r="C37" i="9"/>
  <c r="B37" i="9"/>
  <c r="E36" i="9"/>
  <c r="D36" i="9"/>
  <c r="C36" i="9"/>
  <c r="B36" i="9"/>
  <c r="E35" i="9"/>
  <c r="D35" i="9"/>
  <c r="C35" i="9"/>
  <c r="B35" i="9"/>
  <c r="E34" i="9"/>
  <c r="D34" i="9"/>
  <c r="C34" i="9"/>
  <c r="B34" i="9"/>
  <c r="E33" i="9"/>
  <c r="D33" i="9"/>
  <c r="C33" i="9"/>
  <c r="B33" i="9"/>
  <c r="E32" i="9"/>
  <c r="D32" i="9"/>
  <c r="C32" i="9"/>
  <c r="B32" i="9"/>
  <c r="E31" i="9"/>
  <c r="D31" i="9"/>
  <c r="C31" i="9"/>
  <c r="B31" i="9"/>
  <c r="E30" i="9"/>
  <c r="D30" i="9"/>
  <c r="C30" i="9"/>
  <c r="B30" i="9"/>
  <c r="E29" i="9"/>
  <c r="D29" i="9"/>
  <c r="C29" i="9"/>
  <c r="B29" i="9"/>
  <c r="E28" i="9"/>
  <c r="D28" i="9"/>
  <c r="C28" i="9"/>
  <c r="B28" i="9"/>
  <c r="E27" i="9"/>
  <c r="D27" i="9"/>
  <c r="C27" i="9"/>
  <c r="B27" i="9"/>
  <c r="E26" i="9"/>
  <c r="D26" i="9"/>
  <c r="C26" i="9"/>
  <c r="B26" i="9"/>
  <c r="E25" i="9"/>
  <c r="D25" i="9"/>
  <c r="C25" i="9"/>
  <c r="B25" i="9"/>
  <c r="E24" i="9"/>
  <c r="D24" i="9"/>
  <c r="C24" i="9"/>
  <c r="B24" i="9"/>
  <c r="E23" i="9"/>
  <c r="D23" i="9"/>
  <c r="C23" i="9"/>
  <c r="B23" i="9"/>
  <c r="E22" i="9"/>
  <c r="D22" i="9"/>
  <c r="C22" i="9"/>
  <c r="B22" i="9"/>
  <c r="E21" i="9"/>
  <c r="D21" i="9"/>
  <c r="C21" i="9"/>
  <c r="B21" i="9"/>
  <c r="E20" i="9"/>
  <c r="D20" i="9"/>
  <c r="C20" i="9"/>
  <c r="B20" i="9"/>
  <c r="E19" i="9"/>
  <c r="D19" i="9"/>
  <c r="C19" i="9"/>
  <c r="B19" i="9"/>
  <c r="E18" i="9"/>
  <c r="D18" i="9"/>
  <c r="C18" i="9"/>
  <c r="B18" i="9"/>
  <c r="E17" i="9"/>
  <c r="D17" i="9"/>
  <c r="C17" i="9"/>
  <c r="B17" i="9"/>
  <c r="E16" i="9"/>
  <c r="D16" i="9"/>
  <c r="C16" i="9"/>
  <c r="B16" i="9"/>
  <c r="E15" i="9"/>
  <c r="D15" i="9"/>
  <c r="C15" i="9"/>
  <c r="B15" i="9"/>
  <c r="E14" i="9"/>
  <c r="D14" i="9"/>
  <c r="C14" i="9"/>
  <c r="B14" i="9"/>
  <c r="E13" i="9"/>
  <c r="D13" i="9"/>
  <c r="C13" i="9"/>
  <c r="B13" i="9"/>
  <c r="E12" i="9"/>
  <c r="D12" i="9"/>
  <c r="C12" i="9"/>
  <c r="B12" i="9"/>
  <c r="E11" i="9"/>
  <c r="D11" i="9"/>
  <c r="C11" i="9"/>
  <c r="B11" i="9"/>
  <c r="E10" i="9"/>
  <c r="D10" i="9"/>
  <c r="C10" i="9"/>
  <c r="B10" i="9"/>
  <c r="E9" i="9"/>
  <c r="D9" i="9"/>
  <c r="C9" i="9"/>
  <c r="B9" i="9"/>
  <c r="E8" i="9"/>
  <c r="D8" i="9"/>
  <c r="C8" i="9"/>
  <c r="B8" i="9"/>
  <c r="E7" i="9"/>
  <c r="D7" i="9"/>
  <c r="C7" i="9"/>
  <c r="B7" i="9"/>
  <c r="E6" i="9"/>
  <c r="D6" i="9"/>
  <c r="C6" i="9"/>
  <c r="B6" i="9"/>
  <c r="E5" i="9"/>
  <c r="D5" i="9"/>
  <c r="C5" i="9"/>
  <c r="B5" i="9"/>
  <c r="E67" i="8"/>
  <c r="D67" i="8"/>
  <c r="C67" i="8"/>
  <c r="B67" i="8"/>
  <c r="E66" i="8"/>
  <c r="D66" i="8"/>
  <c r="C66" i="8"/>
  <c r="B66" i="8"/>
  <c r="E65" i="8"/>
  <c r="D65" i="8"/>
  <c r="C65" i="8"/>
  <c r="B65" i="8"/>
  <c r="E64" i="8"/>
  <c r="D64" i="8"/>
  <c r="C64" i="8"/>
  <c r="B64" i="8"/>
  <c r="E63" i="8"/>
  <c r="D63" i="8"/>
  <c r="C63" i="8"/>
  <c r="B63" i="8"/>
  <c r="E62" i="8"/>
  <c r="D62" i="8"/>
  <c r="C62" i="8"/>
  <c r="B62" i="8"/>
  <c r="E61" i="8"/>
  <c r="D61" i="8"/>
  <c r="C61" i="8"/>
  <c r="B61" i="8"/>
  <c r="E60" i="8"/>
  <c r="D60" i="8"/>
  <c r="C60" i="8"/>
  <c r="B60" i="8"/>
  <c r="E59" i="8"/>
  <c r="D59" i="8"/>
  <c r="C59" i="8"/>
  <c r="B59" i="8"/>
  <c r="E58" i="8"/>
  <c r="D58" i="8"/>
  <c r="C58" i="8"/>
  <c r="B58" i="8"/>
  <c r="E57" i="8"/>
  <c r="D57" i="8"/>
  <c r="C57" i="8"/>
  <c r="B57" i="8"/>
  <c r="E56" i="8"/>
  <c r="D56" i="8"/>
  <c r="C56" i="8"/>
  <c r="B56" i="8"/>
  <c r="E55" i="8"/>
  <c r="D55" i="8"/>
  <c r="C55" i="8"/>
  <c r="B55" i="8"/>
  <c r="E54" i="8"/>
  <c r="D54" i="8"/>
  <c r="C54" i="8"/>
  <c r="B54" i="8"/>
  <c r="E53" i="8"/>
  <c r="D53" i="8"/>
  <c r="C53" i="8"/>
  <c r="B53" i="8"/>
  <c r="E52" i="8"/>
  <c r="D52" i="8"/>
  <c r="C52" i="8"/>
  <c r="B52" i="8"/>
  <c r="E51" i="8"/>
  <c r="D51" i="8"/>
  <c r="C51" i="8"/>
  <c r="B51" i="8"/>
  <c r="E50" i="8"/>
  <c r="D50" i="8"/>
  <c r="C50" i="8"/>
  <c r="B50" i="8"/>
  <c r="E49" i="8"/>
  <c r="D49" i="8"/>
  <c r="C49" i="8"/>
  <c r="B49" i="8"/>
  <c r="D48" i="8"/>
  <c r="C48" i="8"/>
  <c r="B48" i="8"/>
  <c r="E47" i="8"/>
  <c r="D47" i="8"/>
  <c r="C47" i="8"/>
  <c r="B47" i="8"/>
  <c r="D46" i="8"/>
  <c r="C46" i="8"/>
  <c r="B46" i="8"/>
  <c r="E45" i="8"/>
  <c r="D45" i="8"/>
  <c r="C45" i="8"/>
  <c r="B45" i="8"/>
  <c r="E44" i="8"/>
  <c r="D44" i="8"/>
  <c r="C44" i="8"/>
  <c r="B44" i="8"/>
  <c r="E43" i="8"/>
  <c r="D43" i="8"/>
  <c r="C43" i="8"/>
  <c r="B43" i="8"/>
  <c r="E42" i="8"/>
  <c r="D42" i="8"/>
  <c r="C42" i="8"/>
  <c r="B42" i="8"/>
  <c r="E41" i="8"/>
  <c r="D41" i="8"/>
  <c r="C41" i="8"/>
  <c r="B41" i="8"/>
  <c r="D40" i="8"/>
  <c r="C40" i="8"/>
  <c r="B40" i="8"/>
  <c r="E39" i="8"/>
  <c r="D39" i="8"/>
  <c r="C39" i="8"/>
  <c r="B39" i="8"/>
  <c r="D38" i="8"/>
  <c r="C38" i="8"/>
  <c r="B38" i="8"/>
  <c r="E37" i="8"/>
  <c r="D37" i="8"/>
  <c r="C37" i="8"/>
  <c r="B37" i="8"/>
  <c r="E36" i="8"/>
  <c r="D36" i="8"/>
  <c r="C36" i="8"/>
  <c r="B36" i="8"/>
  <c r="E35" i="8"/>
  <c r="D35" i="8"/>
  <c r="C35" i="8"/>
  <c r="B35" i="8"/>
  <c r="E34" i="8"/>
  <c r="D34" i="8"/>
  <c r="C34" i="8"/>
  <c r="B34" i="8"/>
  <c r="E33" i="8"/>
  <c r="D33" i="8"/>
  <c r="C33" i="8"/>
  <c r="B33" i="8"/>
  <c r="D32" i="8"/>
  <c r="C32" i="8"/>
  <c r="B32" i="8"/>
  <c r="E31" i="8"/>
  <c r="D31" i="8"/>
  <c r="C31" i="8"/>
  <c r="B31" i="8"/>
  <c r="D30" i="8"/>
  <c r="C30" i="8"/>
  <c r="B30" i="8"/>
  <c r="E29" i="8"/>
  <c r="D29" i="8"/>
  <c r="C29" i="8"/>
  <c r="B29" i="8"/>
  <c r="E28" i="8"/>
  <c r="D28" i="8"/>
  <c r="C28" i="8"/>
  <c r="B28" i="8"/>
  <c r="E27" i="8"/>
  <c r="D27" i="8"/>
  <c r="C27" i="8"/>
  <c r="B27" i="8"/>
  <c r="E26" i="8"/>
  <c r="D26" i="8"/>
  <c r="C26" i="8"/>
  <c r="B26" i="8"/>
  <c r="E25" i="8"/>
  <c r="D25" i="8"/>
  <c r="C25" i="8"/>
  <c r="B25" i="8"/>
  <c r="D24" i="8"/>
  <c r="C24" i="8"/>
  <c r="B24" i="8"/>
  <c r="E23" i="8"/>
  <c r="D23" i="8"/>
  <c r="C23" i="8"/>
  <c r="B23" i="8"/>
  <c r="D22" i="8"/>
  <c r="C22" i="8"/>
  <c r="B22" i="8"/>
  <c r="E21" i="8"/>
  <c r="D21" i="8"/>
  <c r="C21" i="8"/>
  <c r="B21" i="8"/>
  <c r="E20" i="8"/>
  <c r="D20" i="8"/>
  <c r="C20" i="8"/>
  <c r="B20" i="8"/>
  <c r="E19" i="8"/>
  <c r="D19" i="8"/>
  <c r="C19" i="8"/>
  <c r="B19" i="8"/>
  <c r="E18" i="8"/>
  <c r="D18" i="8"/>
  <c r="C18" i="8"/>
  <c r="B18" i="8"/>
  <c r="E17" i="8"/>
  <c r="D17" i="8"/>
  <c r="C17" i="8"/>
  <c r="B17" i="8"/>
  <c r="D16" i="8"/>
  <c r="C16" i="8"/>
  <c r="B16" i="8"/>
  <c r="E15" i="8"/>
  <c r="D15" i="8"/>
  <c r="C15" i="8"/>
  <c r="B15" i="8"/>
  <c r="D14" i="8"/>
  <c r="C14" i="8"/>
  <c r="B14" i="8"/>
  <c r="E13" i="8"/>
  <c r="D13" i="8"/>
  <c r="C13" i="8"/>
  <c r="B13" i="8"/>
  <c r="E12" i="8"/>
  <c r="D12" i="8"/>
  <c r="C12" i="8"/>
  <c r="B12" i="8"/>
  <c r="E11" i="8"/>
  <c r="D11" i="8"/>
  <c r="C11" i="8"/>
  <c r="B11" i="8"/>
  <c r="E10" i="8"/>
  <c r="D10" i="8"/>
  <c r="C10" i="8"/>
  <c r="B10" i="8"/>
  <c r="E9" i="8"/>
  <c r="D9" i="8"/>
  <c r="C9" i="8"/>
  <c r="B9" i="8"/>
  <c r="D8" i="8"/>
  <c r="C8" i="8"/>
  <c r="B8" i="8"/>
  <c r="C48" i="7"/>
  <c r="B48" i="7"/>
  <c r="C47" i="7"/>
  <c r="B47" i="7"/>
  <c r="B46" i="7"/>
  <c r="C45" i="7"/>
  <c r="B45" i="7"/>
  <c r="C44" i="7"/>
  <c r="B44" i="7"/>
  <c r="C43" i="7"/>
  <c r="B43" i="7"/>
  <c r="B42" i="7"/>
  <c r="C41" i="7"/>
  <c r="B41" i="7"/>
  <c r="C40" i="7"/>
  <c r="B40" i="7"/>
  <c r="C39" i="7"/>
  <c r="B39" i="7"/>
  <c r="C38" i="7"/>
  <c r="B38" i="7"/>
  <c r="C37" i="7"/>
  <c r="B37" i="7"/>
  <c r="B36" i="7"/>
  <c r="C35" i="7"/>
  <c r="B35" i="7"/>
  <c r="C34" i="7"/>
  <c r="B34" i="7"/>
  <c r="C33" i="7"/>
  <c r="B33" i="7"/>
  <c r="C32" i="7"/>
  <c r="B32" i="7"/>
  <c r="C31" i="7"/>
  <c r="B31" i="7"/>
  <c r="C30" i="7"/>
  <c r="B30" i="7"/>
  <c r="C29" i="7"/>
  <c r="B29" i="7"/>
  <c r="C25" i="7"/>
  <c r="C24" i="7"/>
  <c r="C23" i="7"/>
  <c r="C22" i="7"/>
  <c r="C21" i="7"/>
  <c r="C20" i="7"/>
  <c r="C19" i="7"/>
  <c r="C18" i="7"/>
  <c r="C17" i="7"/>
  <c r="C16" i="7"/>
  <c r="C15" i="7"/>
  <c r="C14" i="7"/>
  <c r="C13" i="7"/>
  <c r="C12" i="7"/>
  <c r="C11" i="7"/>
  <c r="C10" i="7"/>
  <c r="C9" i="7"/>
  <c r="C8" i="7"/>
  <c r="C7" i="7"/>
  <c r="C6" i="7"/>
  <c r="F64" i="6"/>
  <c r="E64" i="6"/>
  <c r="D64" i="6"/>
  <c r="C64" i="6"/>
  <c r="B64" i="6"/>
  <c r="F63" i="6"/>
  <c r="E63" i="6"/>
  <c r="D63" i="6"/>
  <c r="C63" i="6"/>
  <c r="B63" i="6"/>
  <c r="F62" i="6"/>
  <c r="E62" i="6"/>
  <c r="D62" i="6"/>
  <c r="C62" i="6"/>
  <c r="B62" i="6"/>
  <c r="F61" i="6"/>
  <c r="E61" i="6"/>
  <c r="D61" i="6"/>
  <c r="C61" i="6"/>
  <c r="B61" i="6"/>
  <c r="F60" i="6"/>
  <c r="E60" i="6"/>
  <c r="D60" i="6"/>
  <c r="C60" i="6"/>
  <c r="B60" i="6"/>
  <c r="F59" i="6"/>
  <c r="E59" i="6"/>
  <c r="D59" i="6"/>
  <c r="C59" i="6"/>
  <c r="B59" i="6"/>
  <c r="F58" i="6"/>
  <c r="E58" i="6"/>
  <c r="D58" i="6"/>
  <c r="C58" i="6"/>
  <c r="B58" i="6"/>
  <c r="F57" i="6"/>
  <c r="E57" i="6"/>
  <c r="D57" i="6"/>
  <c r="C57" i="6"/>
  <c r="B57" i="6"/>
  <c r="F56" i="6"/>
  <c r="E56" i="6"/>
  <c r="D56" i="6"/>
  <c r="C56" i="6"/>
  <c r="B56" i="6"/>
  <c r="F55" i="6"/>
  <c r="E55" i="6"/>
  <c r="D55" i="6"/>
  <c r="C55" i="6"/>
  <c r="B55" i="6"/>
  <c r="F54" i="6"/>
  <c r="E54" i="6"/>
  <c r="D54" i="6"/>
  <c r="C54" i="6"/>
  <c r="B54" i="6"/>
  <c r="F53" i="6"/>
  <c r="E53" i="6"/>
  <c r="D53" i="6"/>
  <c r="C53" i="6"/>
  <c r="B53" i="6"/>
  <c r="F52" i="6"/>
  <c r="E52" i="6"/>
  <c r="D52" i="6"/>
  <c r="C52" i="6"/>
  <c r="B52" i="6"/>
  <c r="F51" i="6"/>
  <c r="E51" i="6"/>
  <c r="D51" i="6"/>
  <c r="C51" i="6"/>
  <c r="B51" i="6"/>
  <c r="F50" i="6"/>
  <c r="E50" i="6"/>
  <c r="D50" i="6"/>
  <c r="C50" i="6"/>
  <c r="B50" i="6"/>
  <c r="F49" i="6"/>
  <c r="E49" i="6"/>
  <c r="D49" i="6"/>
  <c r="C49" i="6"/>
  <c r="B49" i="6"/>
  <c r="F48" i="6"/>
  <c r="E48" i="6"/>
  <c r="D48" i="6"/>
  <c r="C48" i="6"/>
  <c r="B48" i="6"/>
  <c r="F47" i="6"/>
  <c r="E47" i="6"/>
  <c r="D47" i="6"/>
  <c r="C47" i="6"/>
  <c r="B47" i="6"/>
  <c r="F46" i="6"/>
  <c r="E46" i="6"/>
  <c r="D46" i="6"/>
  <c r="C46" i="6"/>
  <c r="B46" i="6"/>
  <c r="F45" i="6"/>
  <c r="E45" i="6"/>
  <c r="D45" i="6"/>
  <c r="C45" i="6"/>
  <c r="B45" i="6"/>
  <c r="E44" i="6"/>
  <c r="D44" i="6"/>
  <c r="C44" i="6"/>
  <c r="B44" i="6"/>
  <c r="E43" i="6"/>
  <c r="D43" i="6"/>
  <c r="C43" i="6"/>
  <c r="B43" i="6"/>
  <c r="E42" i="6"/>
  <c r="D42" i="6"/>
  <c r="C42" i="6"/>
  <c r="B42" i="6"/>
  <c r="E41" i="6"/>
  <c r="D41" i="6"/>
  <c r="C41" i="6"/>
  <c r="B41" i="6"/>
  <c r="E40" i="6"/>
  <c r="D40" i="6"/>
  <c r="C40" i="6"/>
  <c r="B40" i="6"/>
  <c r="E39" i="6"/>
  <c r="D39" i="6"/>
  <c r="C39" i="6"/>
  <c r="B39" i="6"/>
  <c r="E38" i="6"/>
  <c r="D38" i="6"/>
  <c r="C38" i="6"/>
  <c r="B38" i="6"/>
  <c r="E37" i="6"/>
  <c r="D37" i="6"/>
  <c r="C37" i="6"/>
  <c r="B37" i="6"/>
  <c r="E36" i="6"/>
  <c r="D36" i="6"/>
  <c r="C36" i="6"/>
  <c r="B36" i="6"/>
  <c r="E35" i="6"/>
  <c r="D35" i="6"/>
  <c r="C35" i="6"/>
  <c r="B35" i="6"/>
  <c r="E34" i="6"/>
  <c r="D34" i="6"/>
  <c r="C34" i="6"/>
  <c r="B34" i="6"/>
  <c r="E33" i="6"/>
  <c r="D33" i="6"/>
  <c r="C33" i="6"/>
  <c r="B33" i="6"/>
  <c r="E32" i="6"/>
  <c r="D32" i="6"/>
  <c r="C32" i="6"/>
  <c r="B32" i="6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E26" i="6"/>
  <c r="D26" i="6"/>
  <c r="C26" i="6"/>
  <c r="B26" i="6"/>
  <c r="E25" i="6"/>
  <c r="D25" i="6"/>
  <c r="C25" i="6"/>
  <c r="B25" i="6"/>
  <c r="E24" i="6"/>
  <c r="D24" i="6"/>
  <c r="C24" i="6"/>
  <c r="B24" i="6"/>
  <c r="E23" i="6"/>
  <c r="D23" i="6"/>
  <c r="C23" i="6"/>
  <c r="B23" i="6"/>
  <c r="E22" i="6"/>
  <c r="D22" i="6"/>
  <c r="C22" i="6"/>
  <c r="B22" i="6"/>
  <c r="E21" i="6"/>
  <c r="D21" i="6"/>
  <c r="C21" i="6"/>
  <c r="B21" i="6"/>
  <c r="E20" i="6"/>
  <c r="D20" i="6"/>
  <c r="C20" i="6"/>
  <c r="B20" i="6"/>
  <c r="E19" i="6"/>
  <c r="D19" i="6"/>
  <c r="C19" i="6"/>
  <c r="B19" i="6"/>
  <c r="E18" i="6"/>
  <c r="D18" i="6"/>
  <c r="C18" i="6"/>
  <c r="B18" i="6"/>
  <c r="E17" i="6"/>
  <c r="D17" i="6"/>
  <c r="C17" i="6"/>
  <c r="B17" i="6"/>
  <c r="E16" i="6"/>
  <c r="D16" i="6"/>
  <c r="C16" i="6"/>
  <c r="B16" i="6"/>
  <c r="E15" i="6"/>
  <c r="D15" i="6"/>
  <c r="C15" i="6"/>
  <c r="B15" i="6"/>
  <c r="E14" i="6"/>
  <c r="D14" i="6"/>
  <c r="C14" i="6"/>
  <c r="B14" i="6"/>
  <c r="E13" i="6"/>
  <c r="D13" i="6"/>
  <c r="C13" i="6"/>
  <c r="B13" i="6"/>
  <c r="E12" i="6"/>
  <c r="D12" i="6"/>
  <c r="C12" i="6"/>
  <c r="B12" i="6"/>
  <c r="E11" i="6"/>
  <c r="D11" i="6"/>
  <c r="C11" i="6"/>
  <c r="B11" i="6"/>
  <c r="E10" i="6"/>
  <c r="D10" i="6"/>
  <c r="C10" i="6"/>
  <c r="B10" i="6"/>
  <c r="E9" i="6"/>
  <c r="D9" i="6"/>
  <c r="C9" i="6"/>
  <c r="B9" i="6"/>
  <c r="E8" i="6"/>
  <c r="D8" i="6"/>
  <c r="C8" i="6"/>
  <c r="B8" i="6"/>
  <c r="E7" i="6"/>
  <c r="D7" i="6"/>
  <c r="C7" i="6"/>
  <c r="B7" i="6"/>
  <c r="E6" i="6"/>
  <c r="D6" i="6"/>
  <c r="C6" i="6"/>
  <c r="B6" i="6"/>
  <c r="E5" i="6"/>
  <c r="D5" i="6"/>
  <c r="C5" i="6"/>
  <c r="B5" i="6"/>
  <c r="I76" i="5"/>
  <c r="H76" i="5"/>
  <c r="G76" i="5"/>
  <c r="F76" i="5"/>
  <c r="E76" i="5"/>
  <c r="D76" i="5"/>
  <c r="C76" i="5"/>
  <c r="I75" i="5"/>
  <c r="H75" i="5"/>
  <c r="G75" i="5"/>
  <c r="F75" i="5"/>
  <c r="E75" i="5"/>
  <c r="D75" i="5"/>
  <c r="C75" i="5"/>
  <c r="I74" i="5"/>
  <c r="H74" i="5"/>
  <c r="G74" i="5"/>
  <c r="F74" i="5"/>
  <c r="E74" i="5"/>
  <c r="D74" i="5"/>
  <c r="C74" i="5"/>
  <c r="I73" i="5"/>
  <c r="H73" i="5"/>
  <c r="G73" i="5"/>
  <c r="F73" i="5"/>
  <c r="E73" i="5"/>
  <c r="D73" i="5"/>
  <c r="C73" i="5"/>
  <c r="I72" i="5"/>
  <c r="H72" i="5"/>
  <c r="G72" i="5"/>
  <c r="F72" i="5"/>
  <c r="E72" i="5"/>
  <c r="D72" i="5"/>
  <c r="C72" i="5"/>
  <c r="I71" i="5"/>
  <c r="H71" i="5"/>
  <c r="G71" i="5"/>
  <c r="F71" i="5"/>
  <c r="E71" i="5"/>
  <c r="D71" i="5"/>
  <c r="C71" i="5"/>
  <c r="I70" i="5"/>
  <c r="H70" i="5"/>
  <c r="G70" i="5"/>
  <c r="F70" i="5"/>
  <c r="E70" i="5"/>
  <c r="D70" i="5"/>
  <c r="C70" i="5"/>
  <c r="I69" i="5"/>
  <c r="H69" i="5"/>
  <c r="G69" i="5"/>
  <c r="F69" i="5"/>
  <c r="E69" i="5"/>
  <c r="D69" i="5"/>
  <c r="C69" i="5"/>
  <c r="G68" i="5"/>
  <c r="F68" i="5"/>
  <c r="E68" i="5"/>
  <c r="D68" i="5"/>
  <c r="C68" i="5"/>
  <c r="I67" i="5"/>
  <c r="H67" i="5"/>
  <c r="G67" i="5"/>
  <c r="F67" i="5"/>
  <c r="E67" i="5"/>
  <c r="D67" i="5"/>
  <c r="C67" i="5"/>
  <c r="I66" i="5"/>
  <c r="H66" i="5"/>
  <c r="G66" i="5"/>
  <c r="F66" i="5"/>
  <c r="E66" i="5"/>
  <c r="D66" i="5"/>
  <c r="C66" i="5"/>
  <c r="I65" i="5"/>
  <c r="H65" i="5"/>
  <c r="G65" i="5"/>
  <c r="F65" i="5"/>
  <c r="E65" i="5"/>
  <c r="D65" i="5"/>
  <c r="C65" i="5"/>
  <c r="I64" i="5"/>
  <c r="H64" i="5"/>
  <c r="G64" i="5"/>
  <c r="F64" i="5"/>
  <c r="E64" i="5"/>
  <c r="D64" i="5"/>
  <c r="C64" i="5"/>
  <c r="I63" i="5"/>
  <c r="H63" i="5"/>
  <c r="G63" i="5"/>
  <c r="F63" i="5"/>
  <c r="E63" i="5"/>
  <c r="D63" i="5"/>
  <c r="C63" i="5"/>
  <c r="I62" i="5"/>
  <c r="H62" i="5"/>
  <c r="G62" i="5"/>
  <c r="F62" i="5"/>
  <c r="E62" i="5"/>
  <c r="D62" i="5"/>
  <c r="C62" i="5"/>
  <c r="I61" i="5"/>
  <c r="H61" i="5"/>
  <c r="G61" i="5"/>
  <c r="F61" i="5"/>
  <c r="E61" i="5"/>
  <c r="D61" i="5"/>
  <c r="C61" i="5"/>
  <c r="I60" i="5"/>
  <c r="H60" i="5"/>
  <c r="G60" i="5"/>
  <c r="F60" i="5"/>
  <c r="E60" i="5"/>
  <c r="D60" i="5"/>
  <c r="C60" i="5"/>
  <c r="I59" i="5"/>
  <c r="H59" i="5"/>
  <c r="G59" i="5"/>
  <c r="F59" i="5"/>
  <c r="E59" i="5"/>
  <c r="D59" i="5"/>
  <c r="C59" i="5"/>
  <c r="I58" i="5"/>
  <c r="H58" i="5"/>
  <c r="G58" i="5"/>
  <c r="F58" i="5"/>
  <c r="E58" i="5"/>
  <c r="D58" i="5"/>
  <c r="C58" i="5"/>
  <c r="I57" i="5"/>
  <c r="H57" i="5"/>
  <c r="G57" i="5"/>
  <c r="F57" i="5"/>
  <c r="E57" i="5"/>
  <c r="D57" i="5"/>
  <c r="C57" i="5"/>
  <c r="I56" i="5"/>
  <c r="H56" i="5"/>
  <c r="G56" i="5"/>
  <c r="F56" i="5"/>
  <c r="E56" i="5"/>
  <c r="D56" i="5"/>
  <c r="C56" i="5"/>
  <c r="I55" i="5"/>
  <c r="H55" i="5"/>
  <c r="G55" i="5"/>
  <c r="F55" i="5"/>
  <c r="E55" i="5"/>
  <c r="D55" i="5"/>
  <c r="C55" i="5"/>
  <c r="I54" i="5"/>
  <c r="H54" i="5"/>
  <c r="G54" i="5"/>
  <c r="F54" i="5"/>
  <c r="E54" i="5"/>
  <c r="D54" i="5"/>
  <c r="C54" i="5"/>
  <c r="I53" i="5"/>
  <c r="H53" i="5"/>
  <c r="G53" i="5"/>
  <c r="F53" i="5"/>
  <c r="E53" i="5"/>
  <c r="D53" i="5"/>
  <c r="C53" i="5"/>
  <c r="I52" i="5"/>
  <c r="H52" i="5"/>
  <c r="G52" i="5"/>
  <c r="F52" i="5"/>
  <c r="E52" i="5"/>
  <c r="D52" i="5"/>
  <c r="C52" i="5"/>
  <c r="I51" i="5"/>
  <c r="H51" i="5"/>
  <c r="G51" i="5"/>
  <c r="F51" i="5"/>
  <c r="E51" i="5"/>
  <c r="D51" i="5"/>
  <c r="C51" i="5"/>
  <c r="I50" i="5"/>
  <c r="H50" i="5"/>
  <c r="G50" i="5"/>
  <c r="F50" i="5"/>
  <c r="E50" i="5"/>
  <c r="D50" i="5"/>
  <c r="C50" i="5"/>
  <c r="I49" i="5"/>
  <c r="H49" i="5"/>
  <c r="G49" i="5"/>
  <c r="F49" i="5"/>
  <c r="E49" i="5"/>
  <c r="D49" i="5"/>
  <c r="C49" i="5"/>
  <c r="G48" i="5"/>
  <c r="F48" i="5"/>
  <c r="E48" i="5"/>
  <c r="D48" i="5"/>
  <c r="C48" i="5"/>
  <c r="I47" i="5"/>
  <c r="H47" i="5"/>
  <c r="G47" i="5"/>
  <c r="F47" i="5"/>
  <c r="E47" i="5"/>
  <c r="D47" i="5"/>
  <c r="C47" i="5"/>
  <c r="I46" i="5"/>
  <c r="H46" i="5"/>
  <c r="G46" i="5"/>
  <c r="F46" i="5"/>
  <c r="E46" i="5"/>
  <c r="D46" i="5"/>
  <c r="C46" i="5"/>
  <c r="I45" i="5"/>
  <c r="H45" i="5"/>
  <c r="G45" i="5"/>
  <c r="F45" i="5"/>
  <c r="E45" i="5"/>
  <c r="D45" i="5"/>
  <c r="C45" i="5"/>
  <c r="I44" i="5"/>
  <c r="H44" i="5"/>
  <c r="G44" i="5"/>
  <c r="F44" i="5"/>
  <c r="E44" i="5"/>
  <c r="D44" i="5"/>
  <c r="C44" i="5"/>
  <c r="I43" i="5"/>
  <c r="H43" i="5"/>
  <c r="G43" i="5"/>
  <c r="F43" i="5"/>
  <c r="E43" i="5"/>
  <c r="D43" i="5"/>
  <c r="C43" i="5"/>
  <c r="I42" i="5"/>
  <c r="H42" i="5"/>
  <c r="G42" i="5"/>
  <c r="F42" i="5"/>
  <c r="E42" i="5"/>
  <c r="D42" i="5"/>
  <c r="C42" i="5"/>
  <c r="I41" i="5"/>
  <c r="H41" i="5"/>
  <c r="G41" i="5"/>
  <c r="F41" i="5"/>
  <c r="E41" i="5"/>
  <c r="D41" i="5"/>
  <c r="C41" i="5"/>
  <c r="I40" i="5"/>
  <c r="H40" i="5"/>
  <c r="G40" i="5"/>
  <c r="F40" i="5"/>
  <c r="E40" i="5"/>
  <c r="D40" i="5"/>
  <c r="C40" i="5"/>
  <c r="I39" i="5"/>
  <c r="H39" i="5"/>
  <c r="G39" i="5"/>
  <c r="F39" i="5"/>
  <c r="E39" i="5"/>
  <c r="D39" i="5"/>
  <c r="C39" i="5"/>
  <c r="I38" i="5"/>
  <c r="H38" i="5"/>
  <c r="G38" i="5"/>
  <c r="F38" i="5"/>
  <c r="E38" i="5"/>
  <c r="D38" i="5"/>
  <c r="C38" i="5"/>
  <c r="I37" i="5"/>
  <c r="H37" i="5"/>
  <c r="G37" i="5"/>
  <c r="F37" i="5"/>
  <c r="E37" i="5"/>
  <c r="D37" i="5"/>
  <c r="C37" i="5"/>
  <c r="I36" i="5"/>
  <c r="H36" i="5"/>
  <c r="G36" i="5"/>
  <c r="F36" i="5"/>
  <c r="E36" i="5"/>
  <c r="D36" i="5"/>
  <c r="C36" i="5"/>
  <c r="I35" i="5"/>
  <c r="H35" i="5"/>
  <c r="G35" i="5"/>
  <c r="F35" i="5"/>
  <c r="E35" i="5"/>
  <c r="D35" i="5"/>
  <c r="C35" i="5"/>
  <c r="I34" i="5"/>
  <c r="H34" i="5"/>
  <c r="G34" i="5"/>
  <c r="F34" i="5"/>
  <c r="E34" i="5"/>
  <c r="D34" i="5"/>
  <c r="C34" i="5"/>
  <c r="I33" i="5"/>
  <c r="H33" i="5"/>
  <c r="G33" i="5"/>
  <c r="F33" i="5"/>
  <c r="E33" i="5"/>
  <c r="D33" i="5"/>
  <c r="C33" i="5"/>
  <c r="I32" i="5"/>
  <c r="H32" i="5"/>
  <c r="G32" i="5"/>
  <c r="F32" i="5"/>
  <c r="E32" i="5"/>
  <c r="D32" i="5"/>
  <c r="C32" i="5"/>
  <c r="I31" i="5"/>
  <c r="H31" i="5"/>
  <c r="G31" i="5"/>
  <c r="F31" i="5"/>
  <c r="E31" i="5"/>
  <c r="D31" i="5"/>
  <c r="C31" i="5"/>
  <c r="I30" i="5"/>
  <c r="H30" i="5"/>
  <c r="G30" i="5"/>
  <c r="F30" i="5"/>
  <c r="E30" i="5"/>
  <c r="D30" i="5"/>
  <c r="C30" i="5"/>
  <c r="I29" i="5"/>
  <c r="H29" i="5"/>
  <c r="G29" i="5"/>
  <c r="F29" i="5"/>
  <c r="E29" i="5"/>
  <c r="D29" i="5"/>
  <c r="C29" i="5"/>
  <c r="I28" i="5"/>
  <c r="H28" i="5"/>
  <c r="G28" i="5"/>
  <c r="F28" i="5"/>
  <c r="E28" i="5"/>
  <c r="D28" i="5"/>
  <c r="C28" i="5"/>
  <c r="I27" i="5"/>
  <c r="H27" i="5"/>
  <c r="G27" i="5"/>
  <c r="F27" i="5"/>
  <c r="E27" i="5"/>
  <c r="D27" i="5"/>
  <c r="C27" i="5"/>
  <c r="I26" i="5"/>
  <c r="H26" i="5"/>
  <c r="G26" i="5"/>
  <c r="F26" i="5"/>
  <c r="E26" i="5"/>
  <c r="D26" i="5"/>
  <c r="C26" i="5"/>
  <c r="I25" i="5"/>
  <c r="H25" i="5"/>
  <c r="G25" i="5"/>
  <c r="F25" i="5"/>
  <c r="E25" i="5"/>
  <c r="D25" i="5"/>
  <c r="C25" i="5"/>
  <c r="I24" i="5"/>
  <c r="H24" i="5"/>
  <c r="G24" i="5"/>
  <c r="F24" i="5"/>
  <c r="E24" i="5"/>
  <c r="D24" i="5"/>
  <c r="C24" i="5"/>
  <c r="I23" i="5"/>
  <c r="H23" i="5"/>
  <c r="G23" i="5"/>
  <c r="F23" i="5"/>
  <c r="E23" i="5"/>
  <c r="D23" i="5"/>
  <c r="C23" i="5"/>
  <c r="I22" i="5"/>
  <c r="H22" i="5"/>
  <c r="G22" i="5"/>
  <c r="F22" i="5"/>
  <c r="E22" i="5"/>
  <c r="D22" i="5"/>
  <c r="C22" i="5"/>
  <c r="I21" i="5"/>
  <c r="H21" i="5"/>
  <c r="G21" i="5"/>
  <c r="F21" i="5"/>
  <c r="E21" i="5"/>
  <c r="D21" i="5"/>
  <c r="C21" i="5"/>
  <c r="I20" i="5"/>
  <c r="H20" i="5"/>
  <c r="G20" i="5"/>
  <c r="F20" i="5"/>
  <c r="E20" i="5"/>
  <c r="D20" i="5"/>
  <c r="C20" i="5"/>
  <c r="I19" i="5"/>
  <c r="H19" i="5"/>
  <c r="G19" i="5"/>
  <c r="F19" i="5"/>
  <c r="E19" i="5"/>
  <c r="D19" i="5"/>
  <c r="C19" i="5"/>
  <c r="I18" i="5"/>
  <c r="H18" i="5"/>
  <c r="G18" i="5"/>
  <c r="F18" i="5"/>
  <c r="E18" i="5"/>
  <c r="D18" i="5"/>
  <c r="C18" i="5"/>
  <c r="I17" i="5"/>
  <c r="H17" i="5"/>
  <c r="G17" i="5"/>
  <c r="F17" i="5"/>
  <c r="E17" i="5"/>
  <c r="D17" i="5"/>
  <c r="C17" i="5"/>
  <c r="I16" i="5"/>
  <c r="H16" i="5"/>
  <c r="G16" i="5"/>
  <c r="F16" i="5"/>
  <c r="E16" i="5"/>
  <c r="D16" i="5"/>
  <c r="C16" i="5"/>
  <c r="I15" i="5"/>
  <c r="H15" i="5"/>
  <c r="G15" i="5"/>
  <c r="F15" i="5"/>
  <c r="E15" i="5"/>
  <c r="D15" i="5"/>
  <c r="C15" i="5"/>
  <c r="I14" i="5"/>
  <c r="H14" i="5"/>
  <c r="G14" i="5"/>
  <c r="F14" i="5"/>
  <c r="E14" i="5"/>
  <c r="D14" i="5"/>
  <c r="C14" i="5"/>
  <c r="I13" i="5"/>
  <c r="H13" i="5"/>
  <c r="G13" i="5"/>
  <c r="F13" i="5"/>
  <c r="E13" i="5"/>
  <c r="D13" i="5"/>
  <c r="C13" i="5"/>
  <c r="I12" i="5"/>
  <c r="H12" i="5"/>
  <c r="G12" i="5"/>
  <c r="F12" i="5"/>
  <c r="E12" i="5"/>
  <c r="D12" i="5"/>
  <c r="C12" i="5"/>
  <c r="I11" i="5"/>
  <c r="H11" i="5"/>
  <c r="G11" i="5"/>
  <c r="F11" i="5"/>
  <c r="E11" i="5"/>
  <c r="D11" i="5"/>
  <c r="C11" i="5"/>
  <c r="I10" i="5"/>
  <c r="H10" i="5"/>
  <c r="G10" i="5"/>
  <c r="F10" i="5"/>
  <c r="E10" i="5"/>
  <c r="D10" i="5"/>
  <c r="C10" i="5"/>
  <c r="I9" i="5"/>
  <c r="H9" i="5"/>
  <c r="G9" i="5"/>
  <c r="F9" i="5"/>
  <c r="E9" i="5"/>
  <c r="D9" i="5"/>
  <c r="C9" i="5"/>
  <c r="I8" i="5"/>
  <c r="H8" i="5"/>
  <c r="G8" i="5"/>
  <c r="F8" i="5"/>
  <c r="E8" i="5"/>
  <c r="D8" i="5"/>
  <c r="C8" i="5"/>
  <c r="I7" i="5"/>
  <c r="H7" i="5"/>
  <c r="G7" i="5"/>
  <c r="F7" i="5"/>
  <c r="E7" i="5"/>
  <c r="D7" i="5"/>
  <c r="C7" i="5"/>
  <c r="I6" i="5"/>
  <c r="H6" i="5"/>
  <c r="G6" i="5"/>
  <c r="F6" i="5"/>
  <c r="E6" i="5"/>
  <c r="D6" i="5"/>
  <c r="C6" i="5"/>
  <c r="I5" i="5"/>
  <c r="H5" i="5"/>
  <c r="G5" i="5"/>
  <c r="F5" i="5"/>
  <c r="E5" i="5"/>
  <c r="D5" i="5"/>
  <c r="C5" i="5"/>
  <c r="BK76" i="4"/>
  <c r="BJ76" i="4"/>
  <c r="BI76" i="4"/>
  <c r="BH76" i="4"/>
  <c r="BG76" i="4"/>
  <c r="BF76" i="4"/>
  <c r="BE76" i="4"/>
  <c r="BD76" i="4"/>
  <c r="BC76" i="4"/>
  <c r="BB76" i="4"/>
  <c r="BA76" i="4"/>
  <c r="AZ76" i="4"/>
  <c r="AY76" i="4"/>
  <c r="AX76" i="4"/>
  <c r="AW76" i="4"/>
  <c r="AV76" i="4"/>
  <c r="AU76" i="4"/>
  <c r="AT76" i="4"/>
  <c r="AS76" i="4"/>
  <c r="AR76" i="4"/>
  <c r="AQ76" i="4"/>
  <c r="AP76" i="4"/>
  <c r="AO76" i="4"/>
  <c r="AN76" i="4"/>
  <c r="AM76" i="4"/>
  <c r="AL76" i="4"/>
  <c r="AK76" i="4"/>
  <c r="AJ76" i="4"/>
  <c r="AI76" i="4"/>
  <c r="AH76" i="4"/>
  <c r="AG76" i="4"/>
  <c r="AF76" i="4"/>
  <c r="AE76" i="4"/>
  <c r="AD76" i="4"/>
  <c r="AC76" i="4"/>
  <c r="AB76" i="4"/>
  <c r="AA76" i="4"/>
  <c r="Z76" i="4"/>
  <c r="Y76" i="4"/>
  <c r="X76" i="4"/>
  <c r="W76" i="4"/>
  <c r="V76" i="4"/>
  <c r="U76" i="4"/>
  <c r="T76" i="4"/>
  <c r="S76" i="4"/>
  <c r="R76" i="4"/>
  <c r="Q76" i="4"/>
  <c r="P76" i="4"/>
  <c r="O76" i="4"/>
  <c r="N76" i="4"/>
  <c r="M76" i="4"/>
  <c r="L76" i="4"/>
  <c r="K76" i="4"/>
  <c r="J76" i="4"/>
  <c r="I76" i="4"/>
  <c r="H76" i="4"/>
  <c r="G76" i="4"/>
  <c r="F76" i="4"/>
  <c r="E76" i="4"/>
  <c r="D76" i="4"/>
  <c r="C76" i="4"/>
  <c r="BK75" i="4"/>
  <c r="BJ75" i="4"/>
  <c r="BI75" i="4"/>
  <c r="BH75" i="4"/>
  <c r="BG75" i="4"/>
  <c r="BF75" i="4"/>
  <c r="BE75" i="4"/>
  <c r="BD75" i="4"/>
  <c r="BC75" i="4"/>
  <c r="BB75" i="4"/>
  <c r="BA75" i="4"/>
  <c r="AZ75" i="4"/>
  <c r="AY75" i="4"/>
  <c r="AX75" i="4"/>
  <c r="AW75" i="4"/>
  <c r="AV75" i="4"/>
  <c r="AU75" i="4"/>
  <c r="AT75" i="4"/>
  <c r="AS75" i="4"/>
  <c r="AR75" i="4"/>
  <c r="AQ75" i="4"/>
  <c r="AP75" i="4"/>
  <c r="AO75" i="4"/>
  <c r="AN75" i="4"/>
  <c r="AM75" i="4"/>
  <c r="AL75" i="4"/>
  <c r="AK75" i="4"/>
  <c r="AJ75" i="4"/>
  <c r="AI75" i="4"/>
  <c r="AH75" i="4"/>
  <c r="AG75" i="4"/>
  <c r="AF75" i="4"/>
  <c r="AE75" i="4"/>
  <c r="AD75" i="4"/>
  <c r="AC75" i="4"/>
  <c r="AB75" i="4"/>
  <c r="AA75" i="4"/>
  <c r="Z75" i="4"/>
  <c r="Y75" i="4"/>
  <c r="X75" i="4"/>
  <c r="W75" i="4"/>
  <c r="V75" i="4"/>
  <c r="U75" i="4"/>
  <c r="T75" i="4"/>
  <c r="S75" i="4"/>
  <c r="R75" i="4"/>
  <c r="Q75" i="4"/>
  <c r="P75" i="4"/>
  <c r="O75" i="4"/>
  <c r="N75" i="4"/>
  <c r="M75" i="4"/>
  <c r="L75" i="4"/>
  <c r="K75" i="4"/>
  <c r="J75" i="4"/>
  <c r="I75" i="4"/>
  <c r="H75" i="4"/>
  <c r="G75" i="4"/>
  <c r="F75" i="4"/>
  <c r="E75" i="4"/>
  <c r="D75" i="4"/>
  <c r="C75" i="4"/>
  <c r="BK74" i="4"/>
  <c r="BJ74" i="4"/>
  <c r="BI74" i="4"/>
  <c r="BH74" i="4"/>
  <c r="BG74" i="4"/>
  <c r="BF74" i="4"/>
  <c r="BE74" i="4"/>
  <c r="BD74" i="4"/>
  <c r="BC74" i="4"/>
  <c r="BB74" i="4"/>
  <c r="BA74" i="4"/>
  <c r="AZ74" i="4"/>
  <c r="AY74" i="4"/>
  <c r="AX74" i="4"/>
  <c r="AW74" i="4"/>
  <c r="AV74" i="4"/>
  <c r="AU74" i="4"/>
  <c r="AT74" i="4"/>
  <c r="AS74" i="4"/>
  <c r="AR74" i="4"/>
  <c r="AQ74" i="4"/>
  <c r="AP74" i="4"/>
  <c r="AO74" i="4"/>
  <c r="AN74" i="4"/>
  <c r="AM74" i="4"/>
  <c r="AL74" i="4"/>
  <c r="AK74" i="4"/>
  <c r="AJ74" i="4"/>
  <c r="AI74" i="4"/>
  <c r="AH74" i="4"/>
  <c r="AG74" i="4"/>
  <c r="AF74" i="4"/>
  <c r="AE74" i="4"/>
  <c r="AD74" i="4"/>
  <c r="AC74" i="4"/>
  <c r="AB74" i="4"/>
  <c r="AA74" i="4"/>
  <c r="Z74" i="4"/>
  <c r="Y74" i="4"/>
  <c r="X74" i="4"/>
  <c r="W74" i="4"/>
  <c r="V74" i="4"/>
  <c r="U74" i="4"/>
  <c r="T74" i="4"/>
  <c r="S74" i="4"/>
  <c r="R74" i="4"/>
  <c r="Q74" i="4"/>
  <c r="P74" i="4"/>
  <c r="O74" i="4"/>
  <c r="N74" i="4"/>
  <c r="M74" i="4"/>
  <c r="L74" i="4"/>
  <c r="K74" i="4"/>
  <c r="J74" i="4"/>
  <c r="I74" i="4"/>
  <c r="H74" i="4"/>
  <c r="G74" i="4"/>
  <c r="F74" i="4"/>
  <c r="E74" i="4"/>
  <c r="D74" i="4"/>
  <c r="C74" i="4"/>
  <c r="BK73" i="4"/>
  <c r="BJ73" i="4"/>
  <c r="BI73" i="4"/>
  <c r="BH73" i="4"/>
  <c r="BG73" i="4"/>
  <c r="BF73" i="4"/>
  <c r="BE73" i="4"/>
  <c r="BD73" i="4"/>
  <c r="BC73" i="4"/>
  <c r="BB73" i="4"/>
  <c r="BA73" i="4"/>
  <c r="AZ73" i="4"/>
  <c r="AY73" i="4"/>
  <c r="AX73" i="4"/>
  <c r="AW73" i="4"/>
  <c r="AV73" i="4"/>
  <c r="AU73" i="4"/>
  <c r="AT73" i="4"/>
  <c r="AS73" i="4"/>
  <c r="AR73" i="4"/>
  <c r="AQ73" i="4"/>
  <c r="AP73" i="4"/>
  <c r="AO73" i="4"/>
  <c r="AN73" i="4"/>
  <c r="AM73" i="4"/>
  <c r="AL73" i="4"/>
  <c r="AK73" i="4"/>
  <c r="AJ73" i="4"/>
  <c r="AI73" i="4"/>
  <c r="AH73" i="4"/>
  <c r="AG73" i="4"/>
  <c r="AF73" i="4"/>
  <c r="AE73" i="4"/>
  <c r="AD73" i="4"/>
  <c r="AC73" i="4"/>
  <c r="AB73" i="4"/>
  <c r="AA73" i="4"/>
  <c r="Z73" i="4"/>
  <c r="Y73" i="4"/>
  <c r="X73" i="4"/>
  <c r="W73" i="4"/>
  <c r="V73" i="4"/>
  <c r="U73" i="4"/>
  <c r="T73" i="4"/>
  <c r="S73" i="4"/>
  <c r="R73" i="4"/>
  <c r="Q73" i="4"/>
  <c r="P73" i="4"/>
  <c r="O73" i="4"/>
  <c r="N73" i="4"/>
  <c r="M73" i="4"/>
  <c r="L73" i="4"/>
  <c r="K73" i="4"/>
  <c r="J73" i="4"/>
  <c r="I73" i="4"/>
  <c r="H73" i="4"/>
  <c r="G73" i="4"/>
  <c r="F73" i="4"/>
  <c r="E73" i="4"/>
  <c r="D73" i="4"/>
  <c r="C73" i="4"/>
  <c r="BK72" i="4"/>
  <c r="BJ72" i="4"/>
  <c r="BI72" i="4"/>
  <c r="BH72" i="4"/>
  <c r="BG72" i="4"/>
  <c r="BF72" i="4"/>
  <c r="BE72" i="4"/>
  <c r="BD72" i="4"/>
  <c r="BC72" i="4"/>
  <c r="BB72" i="4"/>
  <c r="BA72" i="4"/>
  <c r="AZ72" i="4"/>
  <c r="AY72" i="4"/>
  <c r="AX72" i="4"/>
  <c r="AW72" i="4"/>
  <c r="AV72" i="4"/>
  <c r="AU72" i="4"/>
  <c r="AT72" i="4"/>
  <c r="AS72" i="4"/>
  <c r="AR72" i="4"/>
  <c r="AQ72" i="4"/>
  <c r="AP72" i="4"/>
  <c r="AO72" i="4"/>
  <c r="AN72" i="4"/>
  <c r="AM72" i="4"/>
  <c r="AL72" i="4"/>
  <c r="AK72" i="4"/>
  <c r="AJ72" i="4"/>
  <c r="AI72" i="4"/>
  <c r="AH72" i="4"/>
  <c r="AG72" i="4"/>
  <c r="AF72" i="4"/>
  <c r="AE72" i="4"/>
  <c r="AD72" i="4"/>
  <c r="AC72" i="4"/>
  <c r="AB72" i="4"/>
  <c r="AA72" i="4"/>
  <c r="Z72" i="4"/>
  <c r="Y72" i="4"/>
  <c r="X72" i="4"/>
  <c r="W72" i="4"/>
  <c r="V72" i="4"/>
  <c r="U72" i="4"/>
  <c r="T72" i="4"/>
  <c r="S72" i="4"/>
  <c r="R72" i="4"/>
  <c r="Q72" i="4"/>
  <c r="P72" i="4"/>
  <c r="O72" i="4"/>
  <c r="N72" i="4"/>
  <c r="M72" i="4"/>
  <c r="L72" i="4"/>
  <c r="K72" i="4"/>
  <c r="J72" i="4"/>
  <c r="I72" i="4"/>
  <c r="H72" i="4"/>
  <c r="G72" i="4"/>
  <c r="F72" i="4"/>
  <c r="E72" i="4"/>
  <c r="D72" i="4"/>
  <c r="C72" i="4"/>
  <c r="BK71" i="4"/>
  <c r="BJ71" i="4"/>
  <c r="BI71" i="4"/>
  <c r="BH71" i="4"/>
  <c r="BG71" i="4"/>
  <c r="BF71" i="4"/>
  <c r="BE71" i="4"/>
  <c r="BD71" i="4"/>
  <c r="BC71" i="4"/>
  <c r="BB71" i="4"/>
  <c r="BA71" i="4"/>
  <c r="AZ71" i="4"/>
  <c r="AY71" i="4"/>
  <c r="AX71" i="4"/>
  <c r="AW71" i="4"/>
  <c r="AV71" i="4"/>
  <c r="AU71" i="4"/>
  <c r="AT71" i="4"/>
  <c r="AS71" i="4"/>
  <c r="AR71" i="4"/>
  <c r="AQ71" i="4"/>
  <c r="AP71" i="4"/>
  <c r="AO71" i="4"/>
  <c r="AN71" i="4"/>
  <c r="AM71" i="4"/>
  <c r="AL71" i="4"/>
  <c r="AK71" i="4"/>
  <c r="AJ71" i="4"/>
  <c r="AI71" i="4"/>
  <c r="AH71" i="4"/>
  <c r="AG71" i="4"/>
  <c r="AF71" i="4"/>
  <c r="AE71" i="4"/>
  <c r="AD71" i="4"/>
  <c r="AC71" i="4"/>
  <c r="AB71" i="4"/>
  <c r="AA71" i="4"/>
  <c r="Z71" i="4"/>
  <c r="Y71" i="4"/>
  <c r="X71" i="4"/>
  <c r="W71" i="4"/>
  <c r="V71" i="4"/>
  <c r="U71" i="4"/>
  <c r="T71" i="4"/>
  <c r="S71" i="4"/>
  <c r="R71" i="4"/>
  <c r="Q71" i="4"/>
  <c r="P71" i="4"/>
  <c r="O71" i="4"/>
  <c r="N71" i="4"/>
  <c r="M71" i="4"/>
  <c r="L71" i="4"/>
  <c r="K71" i="4"/>
  <c r="J71" i="4"/>
  <c r="I71" i="4"/>
  <c r="H71" i="4"/>
  <c r="G71" i="4"/>
  <c r="F71" i="4"/>
  <c r="E71" i="4"/>
  <c r="D71" i="4"/>
  <c r="C71" i="4"/>
  <c r="BK70" i="4"/>
  <c r="BJ70" i="4"/>
  <c r="BI70" i="4"/>
  <c r="BH70" i="4"/>
  <c r="BG70" i="4"/>
  <c r="BF70" i="4"/>
  <c r="BE70" i="4"/>
  <c r="BD70" i="4"/>
  <c r="BC70" i="4"/>
  <c r="BB70" i="4"/>
  <c r="BA70" i="4"/>
  <c r="AZ70" i="4"/>
  <c r="AY70" i="4"/>
  <c r="AX70" i="4"/>
  <c r="AW70" i="4"/>
  <c r="AV70" i="4"/>
  <c r="AU70" i="4"/>
  <c r="AT70" i="4"/>
  <c r="AS70" i="4"/>
  <c r="AR70" i="4"/>
  <c r="AQ70" i="4"/>
  <c r="AP70" i="4"/>
  <c r="AO70" i="4"/>
  <c r="AN70" i="4"/>
  <c r="AM70" i="4"/>
  <c r="AL70" i="4"/>
  <c r="AK70" i="4"/>
  <c r="AJ70" i="4"/>
  <c r="AI70" i="4"/>
  <c r="AH70" i="4"/>
  <c r="AG70" i="4"/>
  <c r="AF70" i="4"/>
  <c r="AE70" i="4"/>
  <c r="AD70" i="4"/>
  <c r="AC70" i="4"/>
  <c r="AB70" i="4"/>
  <c r="AA70" i="4"/>
  <c r="Z70" i="4"/>
  <c r="Y70" i="4"/>
  <c r="X70" i="4"/>
  <c r="W70" i="4"/>
  <c r="V70" i="4"/>
  <c r="U70" i="4"/>
  <c r="T70" i="4"/>
  <c r="S70" i="4"/>
  <c r="R70" i="4"/>
  <c r="Q70" i="4"/>
  <c r="P70" i="4"/>
  <c r="O70" i="4"/>
  <c r="N70" i="4"/>
  <c r="M70" i="4"/>
  <c r="L70" i="4"/>
  <c r="K70" i="4"/>
  <c r="J70" i="4"/>
  <c r="I70" i="4"/>
  <c r="H70" i="4"/>
  <c r="G70" i="4"/>
  <c r="F70" i="4"/>
  <c r="E70" i="4"/>
  <c r="D70" i="4"/>
  <c r="C70" i="4"/>
  <c r="BK69" i="4"/>
  <c r="BJ69" i="4"/>
  <c r="BI69" i="4"/>
  <c r="BH69" i="4"/>
  <c r="BG69" i="4"/>
  <c r="BF69" i="4"/>
  <c r="BE69" i="4"/>
  <c r="BD69" i="4"/>
  <c r="BC69" i="4"/>
  <c r="BB69" i="4"/>
  <c r="BA69" i="4"/>
  <c r="AZ69" i="4"/>
  <c r="AY69" i="4"/>
  <c r="AX69" i="4"/>
  <c r="AW69" i="4"/>
  <c r="AV69" i="4"/>
  <c r="AU69" i="4"/>
  <c r="AT69" i="4"/>
  <c r="AS69" i="4"/>
  <c r="AR69" i="4"/>
  <c r="AQ69" i="4"/>
  <c r="AP69" i="4"/>
  <c r="AO69" i="4"/>
  <c r="AN69" i="4"/>
  <c r="AM69" i="4"/>
  <c r="AL69" i="4"/>
  <c r="AK69" i="4"/>
  <c r="AJ69" i="4"/>
  <c r="AI69" i="4"/>
  <c r="AH69" i="4"/>
  <c r="AG69" i="4"/>
  <c r="AF69" i="4"/>
  <c r="AE69" i="4"/>
  <c r="AD69" i="4"/>
  <c r="AC69" i="4"/>
  <c r="AB69" i="4"/>
  <c r="AA69" i="4"/>
  <c r="Z69" i="4"/>
  <c r="Y69" i="4"/>
  <c r="X69" i="4"/>
  <c r="W69" i="4"/>
  <c r="V69" i="4"/>
  <c r="U69" i="4"/>
  <c r="T69" i="4"/>
  <c r="S69" i="4"/>
  <c r="R69" i="4"/>
  <c r="Q69" i="4"/>
  <c r="P69" i="4"/>
  <c r="O69" i="4"/>
  <c r="N69" i="4"/>
  <c r="M69" i="4"/>
  <c r="L69" i="4"/>
  <c r="K69" i="4"/>
  <c r="J69" i="4"/>
  <c r="I69" i="4"/>
  <c r="H69" i="4"/>
  <c r="G69" i="4"/>
  <c r="F69" i="4"/>
  <c r="E69" i="4"/>
  <c r="D69" i="4"/>
  <c r="C69" i="4"/>
  <c r="BK68" i="4"/>
  <c r="BJ68" i="4"/>
  <c r="BI68" i="4"/>
  <c r="BH68" i="4"/>
  <c r="BG68" i="4"/>
  <c r="BF68" i="4"/>
  <c r="BE68" i="4"/>
  <c r="BD68" i="4"/>
  <c r="BC68" i="4"/>
  <c r="BB68" i="4"/>
  <c r="BA68" i="4"/>
  <c r="AZ68" i="4"/>
  <c r="AY68" i="4"/>
  <c r="AX68" i="4"/>
  <c r="AW68" i="4"/>
  <c r="AV68" i="4"/>
  <c r="AU68" i="4"/>
  <c r="AT68" i="4"/>
  <c r="AS68" i="4"/>
  <c r="AR68" i="4"/>
  <c r="AQ68" i="4"/>
  <c r="AP68" i="4"/>
  <c r="AO68" i="4"/>
  <c r="AN68" i="4"/>
  <c r="AM68" i="4"/>
  <c r="AL68" i="4"/>
  <c r="AK68" i="4"/>
  <c r="AJ68" i="4"/>
  <c r="AI68" i="4"/>
  <c r="AH68" i="4"/>
  <c r="AG68" i="4"/>
  <c r="AF68" i="4"/>
  <c r="AE68" i="4"/>
  <c r="AD68" i="4"/>
  <c r="AC68" i="4"/>
  <c r="AB68" i="4"/>
  <c r="AA68" i="4"/>
  <c r="Z68" i="4"/>
  <c r="Y68" i="4"/>
  <c r="X68" i="4"/>
  <c r="W68" i="4"/>
  <c r="V68" i="4"/>
  <c r="U68" i="4"/>
  <c r="T68" i="4"/>
  <c r="S68" i="4"/>
  <c r="R68" i="4"/>
  <c r="Q68" i="4"/>
  <c r="P68" i="4"/>
  <c r="O68" i="4"/>
  <c r="N68" i="4"/>
  <c r="M68" i="4"/>
  <c r="L68" i="4"/>
  <c r="K68" i="4"/>
  <c r="J68" i="4"/>
  <c r="I68" i="4"/>
  <c r="H68" i="4"/>
  <c r="G68" i="4"/>
  <c r="F68" i="4"/>
  <c r="E68" i="4"/>
  <c r="D68" i="4"/>
  <c r="C68" i="4"/>
  <c r="BK67" i="4"/>
  <c r="BJ67" i="4"/>
  <c r="BI67" i="4"/>
  <c r="BH67" i="4"/>
  <c r="BG67" i="4"/>
  <c r="BF67" i="4"/>
  <c r="BE67" i="4"/>
  <c r="BD67" i="4"/>
  <c r="BC67" i="4"/>
  <c r="BB67" i="4"/>
  <c r="BA67" i="4"/>
  <c r="AZ67" i="4"/>
  <c r="AY67" i="4"/>
  <c r="AX67" i="4"/>
  <c r="AW67" i="4"/>
  <c r="AV67" i="4"/>
  <c r="AU67" i="4"/>
  <c r="AT67" i="4"/>
  <c r="AS67" i="4"/>
  <c r="AR67" i="4"/>
  <c r="AQ67" i="4"/>
  <c r="AP67" i="4"/>
  <c r="AO67" i="4"/>
  <c r="AN67" i="4"/>
  <c r="AM67" i="4"/>
  <c r="AL67" i="4"/>
  <c r="AK67" i="4"/>
  <c r="AJ67" i="4"/>
  <c r="AI67" i="4"/>
  <c r="AH67" i="4"/>
  <c r="AG67" i="4"/>
  <c r="AF67" i="4"/>
  <c r="AE67" i="4"/>
  <c r="AD67" i="4"/>
  <c r="AC67" i="4"/>
  <c r="AB67" i="4"/>
  <c r="AA67" i="4"/>
  <c r="Z67" i="4"/>
  <c r="Y67" i="4"/>
  <c r="X67" i="4"/>
  <c r="W67" i="4"/>
  <c r="V67" i="4"/>
  <c r="U67" i="4"/>
  <c r="T67" i="4"/>
  <c r="S67" i="4"/>
  <c r="R67" i="4"/>
  <c r="Q67" i="4"/>
  <c r="P67" i="4"/>
  <c r="O67" i="4"/>
  <c r="N67" i="4"/>
  <c r="M67" i="4"/>
  <c r="L67" i="4"/>
  <c r="K67" i="4"/>
  <c r="J67" i="4"/>
  <c r="I67" i="4"/>
  <c r="H67" i="4"/>
  <c r="G67" i="4"/>
  <c r="F67" i="4"/>
  <c r="E67" i="4"/>
  <c r="D67" i="4"/>
  <c r="C67" i="4"/>
  <c r="BK66" i="4"/>
  <c r="BJ66" i="4"/>
  <c r="BI66" i="4"/>
  <c r="BH66" i="4"/>
  <c r="BG66" i="4"/>
  <c r="BF66" i="4"/>
  <c r="BE66" i="4"/>
  <c r="BD66" i="4"/>
  <c r="BC66" i="4"/>
  <c r="BB66" i="4"/>
  <c r="BA66" i="4"/>
  <c r="AZ66" i="4"/>
  <c r="AY66" i="4"/>
  <c r="AX66" i="4"/>
  <c r="AW66" i="4"/>
  <c r="AV66" i="4"/>
  <c r="AU66" i="4"/>
  <c r="AT66" i="4"/>
  <c r="AS66" i="4"/>
  <c r="AR66" i="4"/>
  <c r="AQ66" i="4"/>
  <c r="AP66" i="4"/>
  <c r="AO66" i="4"/>
  <c r="AN66" i="4"/>
  <c r="AM66" i="4"/>
  <c r="AL66" i="4"/>
  <c r="AK66" i="4"/>
  <c r="AJ66" i="4"/>
  <c r="AI66" i="4"/>
  <c r="AH66" i="4"/>
  <c r="AG66" i="4"/>
  <c r="AF66" i="4"/>
  <c r="AE66" i="4"/>
  <c r="AD66" i="4"/>
  <c r="AC66" i="4"/>
  <c r="AB66" i="4"/>
  <c r="AA66" i="4"/>
  <c r="Z66" i="4"/>
  <c r="Y66" i="4"/>
  <c r="X66" i="4"/>
  <c r="W66" i="4"/>
  <c r="V66" i="4"/>
  <c r="U66" i="4"/>
  <c r="T66" i="4"/>
  <c r="S66" i="4"/>
  <c r="R66" i="4"/>
  <c r="Q66" i="4"/>
  <c r="P66" i="4"/>
  <c r="O66" i="4"/>
  <c r="N66" i="4"/>
  <c r="M66" i="4"/>
  <c r="L66" i="4"/>
  <c r="K66" i="4"/>
  <c r="J66" i="4"/>
  <c r="I66" i="4"/>
  <c r="H66" i="4"/>
  <c r="G66" i="4"/>
  <c r="F66" i="4"/>
  <c r="E66" i="4"/>
  <c r="D66" i="4"/>
  <c r="C66" i="4"/>
  <c r="BK65" i="4"/>
  <c r="BJ65" i="4"/>
  <c r="BI65" i="4"/>
  <c r="BH65" i="4"/>
  <c r="BG65" i="4"/>
  <c r="BF65" i="4"/>
  <c r="BE65" i="4"/>
  <c r="BD65" i="4"/>
  <c r="BC65" i="4"/>
  <c r="BB65" i="4"/>
  <c r="BA65" i="4"/>
  <c r="AZ65" i="4"/>
  <c r="AY65" i="4"/>
  <c r="AX65" i="4"/>
  <c r="AW65" i="4"/>
  <c r="AV65" i="4"/>
  <c r="AU65" i="4"/>
  <c r="AT65" i="4"/>
  <c r="AS65" i="4"/>
  <c r="AR65" i="4"/>
  <c r="AQ65" i="4"/>
  <c r="AP65" i="4"/>
  <c r="AO65" i="4"/>
  <c r="AN65" i="4"/>
  <c r="AM65" i="4"/>
  <c r="AL65" i="4"/>
  <c r="AK65" i="4"/>
  <c r="AJ65" i="4"/>
  <c r="AI65" i="4"/>
  <c r="AH65" i="4"/>
  <c r="AG65" i="4"/>
  <c r="AF65" i="4"/>
  <c r="AE65" i="4"/>
  <c r="AD65" i="4"/>
  <c r="AC65" i="4"/>
  <c r="AB65" i="4"/>
  <c r="AA65" i="4"/>
  <c r="Z65" i="4"/>
  <c r="Y65" i="4"/>
  <c r="X65" i="4"/>
  <c r="W65" i="4"/>
  <c r="V65" i="4"/>
  <c r="U65" i="4"/>
  <c r="T65" i="4"/>
  <c r="S65" i="4"/>
  <c r="R65" i="4"/>
  <c r="Q65" i="4"/>
  <c r="P65" i="4"/>
  <c r="O65" i="4"/>
  <c r="N65" i="4"/>
  <c r="M65" i="4"/>
  <c r="L65" i="4"/>
  <c r="K65" i="4"/>
  <c r="J65" i="4"/>
  <c r="I65" i="4"/>
  <c r="H65" i="4"/>
  <c r="G65" i="4"/>
  <c r="F65" i="4"/>
  <c r="E65" i="4"/>
  <c r="D65" i="4"/>
  <c r="C65" i="4"/>
  <c r="BK64" i="4"/>
  <c r="BJ64" i="4"/>
  <c r="BI64" i="4"/>
  <c r="BH64" i="4"/>
  <c r="BG64" i="4"/>
  <c r="BF64" i="4"/>
  <c r="BE64" i="4"/>
  <c r="BD64" i="4"/>
  <c r="BC64" i="4"/>
  <c r="BB64" i="4"/>
  <c r="BA64" i="4"/>
  <c r="AZ64" i="4"/>
  <c r="AY64" i="4"/>
  <c r="AX64" i="4"/>
  <c r="AW64" i="4"/>
  <c r="AV64" i="4"/>
  <c r="AU64" i="4"/>
  <c r="AT64" i="4"/>
  <c r="AS64" i="4"/>
  <c r="AR64" i="4"/>
  <c r="AQ64" i="4"/>
  <c r="AP64" i="4"/>
  <c r="AO64" i="4"/>
  <c r="AN64" i="4"/>
  <c r="AM64" i="4"/>
  <c r="AL64" i="4"/>
  <c r="AK64" i="4"/>
  <c r="AJ64" i="4"/>
  <c r="AI64" i="4"/>
  <c r="AH64" i="4"/>
  <c r="AG64" i="4"/>
  <c r="AF64" i="4"/>
  <c r="AE64" i="4"/>
  <c r="AD64" i="4"/>
  <c r="AC64" i="4"/>
  <c r="AB64" i="4"/>
  <c r="AA64" i="4"/>
  <c r="Z64" i="4"/>
  <c r="Y64" i="4"/>
  <c r="X64" i="4"/>
  <c r="W64" i="4"/>
  <c r="V64" i="4"/>
  <c r="U64" i="4"/>
  <c r="T64" i="4"/>
  <c r="S64" i="4"/>
  <c r="R64" i="4"/>
  <c r="Q64" i="4"/>
  <c r="P64" i="4"/>
  <c r="O64" i="4"/>
  <c r="N64" i="4"/>
  <c r="M64" i="4"/>
  <c r="L64" i="4"/>
  <c r="K64" i="4"/>
  <c r="J64" i="4"/>
  <c r="I64" i="4"/>
  <c r="H64" i="4"/>
  <c r="G64" i="4"/>
  <c r="F64" i="4"/>
  <c r="E64" i="4"/>
  <c r="D64" i="4"/>
  <c r="C64" i="4"/>
  <c r="BK63" i="4"/>
  <c r="BJ63" i="4"/>
  <c r="BI63" i="4"/>
  <c r="BH63" i="4"/>
  <c r="BG63" i="4"/>
  <c r="BF63" i="4"/>
  <c r="BE63" i="4"/>
  <c r="BD63" i="4"/>
  <c r="BC63" i="4"/>
  <c r="BB63" i="4"/>
  <c r="BA63" i="4"/>
  <c r="AZ63" i="4"/>
  <c r="AY63" i="4"/>
  <c r="AX63" i="4"/>
  <c r="AW63" i="4"/>
  <c r="AV63" i="4"/>
  <c r="AU63" i="4"/>
  <c r="AT63" i="4"/>
  <c r="AS63" i="4"/>
  <c r="AR63" i="4"/>
  <c r="AQ63" i="4"/>
  <c r="AP63" i="4"/>
  <c r="AO63" i="4"/>
  <c r="AN63" i="4"/>
  <c r="AM63" i="4"/>
  <c r="AL63" i="4"/>
  <c r="AK63" i="4"/>
  <c r="AJ63" i="4"/>
  <c r="AI63" i="4"/>
  <c r="AH63" i="4"/>
  <c r="AG63" i="4"/>
  <c r="AF63" i="4"/>
  <c r="AE63" i="4"/>
  <c r="AD63" i="4"/>
  <c r="AC63" i="4"/>
  <c r="AB63" i="4"/>
  <c r="AA63" i="4"/>
  <c r="Z63" i="4"/>
  <c r="Y63" i="4"/>
  <c r="X63" i="4"/>
  <c r="W63" i="4"/>
  <c r="V63" i="4"/>
  <c r="U63" i="4"/>
  <c r="T63" i="4"/>
  <c r="S63" i="4"/>
  <c r="R63" i="4"/>
  <c r="Q63" i="4"/>
  <c r="P63" i="4"/>
  <c r="O63" i="4"/>
  <c r="N63" i="4"/>
  <c r="M63" i="4"/>
  <c r="L63" i="4"/>
  <c r="K63" i="4"/>
  <c r="J63" i="4"/>
  <c r="I63" i="4"/>
  <c r="H63" i="4"/>
  <c r="G63" i="4"/>
  <c r="F63" i="4"/>
  <c r="E63" i="4"/>
  <c r="D63" i="4"/>
  <c r="C63" i="4"/>
  <c r="BK62" i="4"/>
  <c r="BJ62" i="4"/>
  <c r="BI62" i="4"/>
  <c r="BH62" i="4"/>
  <c r="BG62" i="4"/>
  <c r="BF62" i="4"/>
  <c r="BE62" i="4"/>
  <c r="BD62" i="4"/>
  <c r="BC62" i="4"/>
  <c r="BB62" i="4"/>
  <c r="BA62" i="4"/>
  <c r="AZ62" i="4"/>
  <c r="AY62" i="4"/>
  <c r="AX62" i="4"/>
  <c r="AW62" i="4"/>
  <c r="AV62" i="4"/>
  <c r="AU62" i="4"/>
  <c r="AT62" i="4"/>
  <c r="AS62" i="4"/>
  <c r="AR62" i="4"/>
  <c r="AQ62" i="4"/>
  <c r="AP62" i="4"/>
  <c r="AO62" i="4"/>
  <c r="AN62" i="4"/>
  <c r="AM62" i="4"/>
  <c r="AL62" i="4"/>
  <c r="AK62" i="4"/>
  <c r="AJ62" i="4"/>
  <c r="AI62" i="4"/>
  <c r="AH62" i="4"/>
  <c r="AG62" i="4"/>
  <c r="AF62" i="4"/>
  <c r="AE62" i="4"/>
  <c r="AD62" i="4"/>
  <c r="AC62" i="4"/>
  <c r="AB62" i="4"/>
  <c r="AA62" i="4"/>
  <c r="Z62" i="4"/>
  <c r="Y62" i="4"/>
  <c r="X62" i="4"/>
  <c r="W62" i="4"/>
  <c r="V62" i="4"/>
  <c r="U62" i="4"/>
  <c r="T62" i="4"/>
  <c r="S62" i="4"/>
  <c r="R62" i="4"/>
  <c r="Q62" i="4"/>
  <c r="P62" i="4"/>
  <c r="O62" i="4"/>
  <c r="N62" i="4"/>
  <c r="M62" i="4"/>
  <c r="L62" i="4"/>
  <c r="K62" i="4"/>
  <c r="J62" i="4"/>
  <c r="I62" i="4"/>
  <c r="H62" i="4"/>
  <c r="G62" i="4"/>
  <c r="F62" i="4"/>
  <c r="E62" i="4"/>
  <c r="D62" i="4"/>
  <c r="C62" i="4"/>
  <c r="BK61" i="4"/>
  <c r="BJ61" i="4"/>
  <c r="BI61" i="4"/>
  <c r="BH61" i="4"/>
  <c r="BG61" i="4"/>
  <c r="BF61" i="4"/>
  <c r="BE61" i="4"/>
  <c r="BD61" i="4"/>
  <c r="BC61" i="4"/>
  <c r="BB61" i="4"/>
  <c r="BA61" i="4"/>
  <c r="AZ61" i="4"/>
  <c r="AY61" i="4"/>
  <c r="AX61" i="4"/>
  <c r="AW61" i="4"/>
  <c r="AV61" i="4"/>
  <c r="AU61" i="4"/>
  <c r="AT61" i="4"/>
  <c r="AS61" i="4"/>
  <c r="AR61" i="4"/>
  <c r="AQ61" i="4"/>
  <c r="AP61" i="4"/>
  <c r="AO61" i="4"/>
  <c r="AN61" i="4"/>
  <c r="AM61" i="4"/>
  <c r="AL61" i="4"/>
  <c r="AK61" i="4"/>
  <c r="AJ61" i="4"/>
  <c r="AI61" i="4"/>
  <c r="AH61" i="4"/>
  <c r="AG61" i="4"/>
  <c r="AF61" i="4"/>
  <c r="AE61" i="4"/>
  <c r="AD61" i="4"/>
  <c r="AC61" i="4"/>
  <c r="AB61" i="4"/>
  <c r="AA61" i="4"/>
  <c r="Z61" i="4"/>
  <c r="Y61" i="4"/>
  <c r="X61" i="4"/>
  <c r="W61" i="4"/>
  <c r="V61" i="4"/>
  <c r="U61" i="4"/>
  <c r="T61" i="4"/>
  <c r="S61" i="4"/>
  <c r="R61" i="4"/>
  <c r="Q61" i="4"/>
  <c r="P61" i="4"/>
  <c r="O61" i="4"/>
  <c r="N61" i="4"/>
  <c r="M61" i="4"/>
  <c r="L61" i="4"/>
  <c r="K61" i="4"/>
  <c r="J61" i="4"/>
  <c r="I61" i="4"/>
  <c r="H61" i="4"/>
  <c r="G61" i="4"/>
  <c r="F61" i="4"/>
  <c r="E61" i="4"/>
  <c r="D61" i="4"/>
  <c r="C61" i="4"/>
  <c r="BK60" i="4"/>
  <c r="BJ60" i="4"/>
  <c r="BI60" i="4"/>
  <c r="BH60" i="4"/>
  <c r="BG60" i="4"/>
  <c r="BF60" i="4"/>
  <c r="BE60" i="4"/>
  <c r="BD60" i="4"/>
  <c r="BC60" i="4"/>
  <c r="BB60" i="4"/>
  <c r="BA60" i="4"/>
  <c r="AZ60" i="4"/>
  <c r="AY60" i="4"/>
  <c r="AX60" i="4"/>
  <c r="AW60" i="4"/>
  <c r="AV60" i="4"/>
  <c r="AU60" i="4"/>
  <c r="AT60" i="4"/>
  <c r="AS60" i="4"/>
  <c r="AR60" i="4"/>
  <c r="AQ60" i="4"/>
  <c r="AP60" i="4"/>
  <c r="AO60" i="4"/>
  <c r="AN60" i="4"/>
  <c r="AM60" i="4"/>
  <c r="AL60" i="4"/>
  <c r="AK60" i="4"/>
  <c r="AJ60" i="4"/>
  <c r="AI60" i="4"/>
  <c r="AH60" i="4"/>
  <c r="AG60" i="4"/>
  <c r="AF60" i="4"/>
  <c r="AE60" i="4"/>
  <c r="AD60" i="4"/>
  <c r="AC60" i="4"/>
  <c r="AB60" i="4"/>
  <c r="AA60" i="4"/>
  <c r="Z60" i="4"/>
  <c r="Y60" i="4"/>
  <c r="X60" i="4"/>
  <c r="W60" i="4"/>
  <c r="V60" i="4"/>
  <c r="U60" i="4"/>
  <c r="T60" i="4"/>
  <c r="S60" i="4"/>
  <c r="R60" i="4"/>
  <c r="Q60" i="4"/>
  <c r="P60" i="4"/>
  <c r="O60" i="4"/>
  <c r="N60" i="4"/>
  <c r="M60" i="4"/>
  <c r="L60" i="4"/>
  <c r="K60" i="4"/>
  <c r="J60" i="4"/>
  <c r="I60" i="4"/>
  <c r="H60" i="4"/>
  <c r="G60" i="4"/>
  <c r="F60" i="4"/>
  <c r="E60" i="4"/>
  <c r="D60" i="4"/>
  <c r="C60" i="4"/>
  <c r="BK59" i="4"/>
  <c r="BJ59" i="4"/>
  <c r="BI59" i="4"/>
  <c r="BH59" i="4"/>
  <c r="BG59" i="4"/>
  <c r="BF59" i="4"/>
  <c r="BE59" i="4"/>
  <c r="BD59" i="4"/>
  <c r="BC59" i="4"/>
  <c r="BB59" i="4"/>
  <c r="BA59" i="4"/>
  <c r="AZ59" i="4"/>
  <c r="AY59" i="4"/>
  <c r="AX59" i="4"/>
  <c r="AW59" i="4"/>
  <c r="AV59" i="4"/>
  <c r="AU59" i="4"/>
  <c r="AT59" i="4"/>
  <c r="AS59" i="4"/>
  <c r="AR59" i="4"/>
  <c r="AQ59" i="4"/>
  <c r="AP59" i="4"/>
  <c r="AO59" i="4"/>
  <c r="AN59" i="4"/>
  <c r="AM59" i="4"/>
  <c r="AL59" i="4"/>
  <c r="AK59" i="4"/>
  <c r="AJ59" i="4"/>
  <c r="AI59" i="4"/>
  <c r="AH59" i="4"/>
  <c r="AG59" i="4"/>
  <c r="AF59" i="4"/>
  <c r="AE59" i="4"/>
  <c r="AD59" i="4"/>
  <c r="AC59" i="4"/>
  <c r="AB59" i="4"/>
  <c r="AA59" i="4"/>
  <c r="Z59" i="4"/>
  <c r="Y59" i="4"/>
  <c r="X59" i="4"/>
  <c r="W59" i="4"/>
  <c r="V59" i="4"/>
  <c r="U59" i="4"/>
  <c r="T59" i="4"/>
  <c r="S59" i="4"/>
  <c r="R59" i="4"/>
  <c r="Q59" i="4"/>
  <c r="P59" i="4"/>
  <c r="O59" i="4"/>
  <c r="N59" i="4"/>
  <c r="M59" i="4"/>
  <c r="L59" i="4"/>
  <c r="K59" i="4"/>
  <c r="J59" i="4"/>
  <c r="I59" i="4"/>
  <c r="H59" i="4"/>
  <c r="G59" i="4"/>
  <c r="F59" i="4"/>
  <c r="E59" i="4"/>
  <c r="D59" i="4"/>
  <c r="C59" i="4"/>
  <c r="BK58" i="4"/>
  <c r="BJ58" i="4"/>
  <c r="BI58" i="4"/>
  <c r="BH58" i="4"/>
  <c r="BG58" i="4"/>
  <c r="BF58" i="4"/>
  <c r="BE58" i="4"/>
  <c r="BD58" i="4"/>
  <c r="BC58" i="4"/>
  <c r="BB58" i="4"/>
  <c r="BA58" i="4"/>
  <c r="AZ58" i="4"/>
  <c r="AY58" i="4"/>
  <c r="AX58" i="4"/>
  <c r="AW58" i="4"/>
  <c r="AV58" i="4"/>
  <c r="AU58" i="4"/>
  <c r="AT58" i="4"/>
  <c r="AS58" i="4"/>
  <c r="AR58" i="4"/>
  <c r="AQ58" i="4"/>
  <c r="AP58" i="4"/>
  <c r="AO58" i="4"/>
  <c r="AN58" i="4"/>
  <c r="AM58" i="4"/>
  <c r="AL58" i="4"/>
  <c r="AK58" i="4"/>
  <c r="AJ58" i="4"/>
  <c r="AI58" i="4"/>
  <c r="AH58" i="4"/>
  <c r="AG58" i="4"/>
  <c r="AF58" i="4"/>
  <c r="AE58" i="4"/>
  <c r="AD58" i="4"/>
  <c r="AC58" i="4"/>
  <c r="AB58" i="4"/>
  <c r="AA58" i="4"/>
  <c r="Z58" i="4"/>
  <c r="Y58" i="4"/>
  <c r="X58" i="4"/>
  <c r="W58" i="4"/>
  <c r="V58" i="4"/>
  <c r="U58" i="4"/>
  <c r="T58" i="4"/>
  <c r="S58" i="4"/>
  <c r="R58" i="4"/>
  <c r="Q58" i="4"/>
  <c r="P58" i="4"/>
  <c r="O58" i="4"/>
  <c r="N58" i="4"/>
  <c r="M58" i="4"/>
  <c r="L58" i="4"/>
  <c r="K58" i="4"/>
  <c r="J58" i="4"/>
  <c r="I58" i="4"/>
  <c r="H58" i="4"/>
  <c r="G58" i="4"/>
  <c r="F58" i="4"/>
  <c r="E58" i="4"/>
  <c r="D58" i="4"/>
  <c r="C58" i="4"/>
  <c r="BK57" i="4"/>
  <c r="BJ57" i="4"/>
  <c r="BI57" i="4"/>
  <c r="BH57" i="4"/>
  <c r="BG57" i="4"/>
  <c r="BF57" i="4"/>
  <c r="BE57" i="4"/>
  <c r="BD57" i="4"/>
  <c r="BC57" i="4"/>
  <c r="BB57" i="4"/>
  <c r="BA57" i="4"/>
  <c r="AZ57" i="4"/>
  <c r="AY57" i="4"/>
  <c r="AX57" i="4"/>
  <c r="AW57" i="4"/>
  <c r="AV57" i="4"/>
  <c r="AU57" i="4"/>
  <c r="AT57" i="4"/>
  <c r="AS57" i="4"/>
  <c r="AR57" i="4"/>
  <c r="AQ57" i="4"/>
  <c r="AP57" i="4"/>
  <c r="AO57" i="4"/>
  <c r="AN57" i="4"/>
  <c r="AM57" i="4"/>
  <c r="AL57" i="4"/>
  <c r="AK57" i="4"/>
  <c r="AJ57" i="4"/>
  <c r="AI57" i="4"/>
  <c r="AH57" i="4"/>
  <c r="AG57" i="4"/>
  <c r="AF57" i="4"/>
  <c r="AE57" i="4"/>
  <c r="AD57" i="4"/>
  <c r="AC57" i="4"/>
  <c r="AB57" i="4"/>
  <c r="AA57" i="4"/>
  <c r="Z57" i="4"/>
  <c r="Y57" i="4"/>
  <c r="X57" i="4"/>
  <c r="W57" i="4"/>
  <c r="V57" i="4"/>
  <c r="U57" i="4"/>
  <c r="T57" i="4"/>
  <c r="S57" i="4"/>
  <c r="R57" i="4"/>
  <c r="Q57" i="4"/>
  <c r="P57" i="4"/>
  <c r="O57" i="4"/>
  <c r="N57" i="4"/>
  <c r="M57" i="4"/>
  <c r="L57" i="4"/>
  <c r="K57" i="4"/>
  <c r="J57" i="4"/>
  <c r="I57" i="4"/>
  <c r="H57" i="4"/>
  <c r="G57" i="4"/>
  <c r="F57" i="4"/>
  <c r="E57" i="4"/>
  <c r="D57" i="4"/>
  <c r="C57" i="4"/>
  <c r="BK56" i="4"/>
  <c r="BJ56" i="4"/>
  <c r="BI56" i="4"/>
  <c r="BH56" i="4"/>
  <c r="BG56" i="4"/>
  <c r="BF56" i="4"/>
  <c r="BE56" i="4"/>
  <c r="BD56" i="4"/>
  <c r="BC56" i="4"/>
  <c r="BB56" i="4"/>
  <c r="BA56" i="4"/>
  <c r="AZ56" i="4"/>
  <c r="AY56" i="4"/>
  <c r="AX56" i="4"/>
  <c r="AW56" i="4"/>
  <c r="AV56" i="4"/>
  <c r="AU56" i="4"/>
  <c r="AT56" i="4"/>
  <c r="AS56" i="4"/>
  <c r="AR56" i="4"/>
  <c r="AQ56" i="4"/>
  <c r="AP56" i="4"/>
  <c r="AO56" i="4"/>
  <c r="AN56" i="4"/>
  <c r="AM56" i="4"/>
  <c r="AL56" i="4"/>
  <c r="AK56" i="4"/>
  <c r="AJ56" i="4"/>
  <c r="AI56" i="4"/>
  <c r="AH56" i="4"/>
  <c r="AG56" i="4"/>
  <c r="AF56" i="4"/>
  <c r="AE56" i="4"/>
  <c r="AD56" i="4"/>
  <c r="AC56" i="4"/>
  <c r="AB56" i="4"/>
  <c r="AA56" i="4"/>
  <c r="Z56" i="4"/>
  <c r="Y56" i="4"/>
  <c r="X56" i="4"/>
  <c r="W56" i="4"/>
  <c r="V56" i="4"/>
  <c r="U56" i="4"/>
  <c r="T56" i="4"/>
  <c r="S56" i="4"/>
  <c r="R56" i="4"/>
  <c r="Q56" i="4"/>
  <c r="P56" i="4"/>
  <c r="O56" i="4"/>
  <c r="N56" i="4"/>
  <c r="M56" i="4"/>
  <c r="L56" i="4"/>
  <c r="K56" i="4"/>
  <c r="J56" i="4"/>
  <c r="I56" i="4"/>
  <c r="H56" i="4"/>
  <c r="G56" i="4"/>
  <c r="F56" i="4"/>
  <c r="E56" i="4"/>
  <c r="D56" i="4"/>
  <c r="C56" i="4"/>
  <c r="BK55" i="4"/>
  <c r="BJ55" i="4"/>
  <c r="BI55" i="4"/>
  <c r="BH55" i="4"/>
  <c r="BG55" i="4"/>
  <c r="BF55" i="4"/>
  <c r="BE55" i="4"/>
  <c r="BD55" i="4"/>
  <c r="BC55" i="4"/>
  <c r="BB55" i="4"/>
  <c r="BA55" i="4"/>
  <c r="AZ55" i="4"/>
  <c r="AY55" i="4"/>
  <c r="AX55" i="4"/>
  <c r="AW55" i="4"/>
  <c r="AV55" i="4"/>
  <c r="AU55" i="4"/>
  <c r="AT55" i="4"/>
  <c r="AS55" i="4"/>
  <c r="AR55" i="4"/>
  <c r="AQ55" i="4"/>
  <c r="AP55" i="4"/>
  <c r="AO55" i="4"/>
  <c r="AN55" i="4"/>
  <c r="AM55" i="4"/>
  <c r="AL55" i="4"/>
  <c r="AK55" i="4"/>
  <c r="AJ55" i="4"/>
  <c r="AI55" i="4"/>
  <c r="AH55" i="4"/>
  <c r="AG55" i="4"/>
  <c r="AF55" i="4"/>
  <c r="AE55" i="4"/>
  <c r="AD55" i="4"/>
  <c r="AC55" i="4"/>
  <c r="AB55" i="4"/>
  <c r="AA55" i="4"/>
  <c r="Z55" i="4"/>
  <c r="Y55" i="4"/>
  <c r="X55" i="4"/>
  <c r="W55" i="4"/>
  <c r="V55" i="4"/>
  <c r="U55" i="4"/>
  <c r="T55" i="4"/>
  <c r="S55" i="4"/>
  <c r="R55" i="4"/>
  <c r="Q55" i="4"/>
  <c r="P55" i="4"/>
  <c r="O55" i="4"/>
  <c r="N55" i="4"/>
  <c r="M55" i="4"/>
  <c r="L55" i="4"/>
  <c r="K55" i="4"/>
  <c r="J55" i="4"/>
  <c r="I55" i="4"/>
  <c r="H55" i="4"/>
  <c r="G55" i="4"/>
  <c r="F55" i="4"/>
  <c r="E55" i="4"/>
  <c r="D55" i="4"/>
  <c r="C55" i="4"/>
  <c r="BK54" i="4"/>
  <c r="BJ54" i="4"/>
  <c r="BI54" i="4"/>
  <c r="BH54" i="4"/>
  <c r="BG54" i="4"/>
  <c r="BF54" i="4"/>
  <c r="BE54" i="4"/>
  <c r="BD54" i="4"/>
  <c r="BC54" i="4"/>
  <c r="BB54" i="4"/>
  <c r="BA54" i="4"/>
  <c r="AZ54" i="4"/>
  <c r="AY54" i="4"/>
  <c r="AX54" i="4"/>
  <c r="AW54" i="4"/>
  <c r="AV54" i="4"/>
  <c r="AU54" i="4"/>
  <c r="AT54" i="4"/>
  <c r="AS54" i="4"/>
  <c r="AR54" i="4"/>
  <c r="AQ54" i="4"/>
  <c r="AP54" i="4"/>
  <c r="AO54" i="4"/>
  <c r="AN54" i="4"/>
  <c r="AM54" i="4"/>
  <c r="AL54" i="4"/>
  <c r="AK54" i="4"/>
  <c r="AJ54" i="4"/>
  <c r="AI54" i="4"/>
  <c r="AH54" i="4"/>
  <c r="AG54" i="4"/>
  <c r="AF54" i="4"/>
  <c r="AE54" i="4"/>
  <c r="AD54" i="4"/>
  <c r="AC54" i="4"/>
  <c r="AB54" i="4"/>
  <c r="AA54" i="4"/>
  <c r="Z54" i="4"/>
  <c r="Y54" i="4"/>
  <c r="X54" i="4"/>
  <c r="W54" i="4"/>
  <c r="V54" i="4"/>
  <c r="U54" i="4"/>
  <c r="T54" i="4"/>
  <c r="S54" i="4"/>
  <c r="R54" i="4"/>
  <c r="Q54" i="4"/>
  <c r="P54" i="4"/>
  <c r="O54" i="4"/>
  <c r="N54" i="4"/>
  <c r="M54" i="4"/>
  <c r="L54" i="4"/>
  <c r="K54" i="4"/>
  <c r="J54" i="4"/>
  <c r="I54" i="4"/>
  <c r="H54" i="4"/>
  <c r="G54" i="4"/>
  <c r="F54" i="4"/>
  <c r="E54" i="4"/>
  <c r="D54" i="4"/>
  <c r="C54" i="4"/>
  <c r="BK53" i="4"/>
  <c r="BJ53" i="4"/>
  <c r="BI53" i="4"/>
  <c r="BH53" i="4"/>
  <c r="BG53" i="4"/>
  <c r="BF53" i="4"/>
  <c r="BE53" i="4"/>
  <c r="BD53" i="4"/>
  <c r="BC53" i="4"/>
  <c r="BB53" i="4"/>
  <c r="BA53" i="4"/>
  <c r="AZ53" i="4"/>
  <c r="AY53" i="4"/>
  <c r="AX53" i="4"/>
  <c r="AW53" i="4"/>
  <c r="AV53" i="4"/>
  <c r="AU53" i="4"/>
  <c r="AT53" i="4"/>
  <c r="AS53" i="4"/>
  <c r="AR53" i="4"/>
  <c r="AQ53" i="4"/>
  <c r="AP53" i="4"/>
  <c r="AO53" i="4"/>
  <c r="AN53" i="4"/>
  <c r="AM53" i="4"/>
  <c r="AL53" i="4"/>
  <c r="AK53" i="4"/>
  <c r="AJ53" i="4"/>
  <c r="AI53" i="4"/>
  <c r="AH53" i="4"/>
  <c r="AG53" i="4"/>
  <c r="AF53" i="4"/>
  <c r="AE53" i="4"/>
  <c r="AD53" i="4"/>
  <c r="AC53" i="4"/>
  <c r="AB53" i="4"/>
  <c r="AA53" i="4"/>
  <c r="Z53" i="4"/>
  <c r="Y53" i="4"/>
  <c r="X53" i="4"/>
  <c r="W53" i="4"/>
  <c r="V53" i="4"/>
  <c r="U53" i="4"/>
  <c r="T53" i="4"/>
  <c r="S53" i="4"/>
  <c r="R53" i="4"/>
  <c r="Q53" i="4"/>
  <c r="P53" i="4"/>
  <c r="O53" i="4"/>
  <c r="N53" i="4"/>
  <c r="M53" i="4"/>
  <c r="L53" i="4"/>
  <c r="K53" i="4"/>
  <c r="J53" i="4"/>
  <c r="I53" i="4"/>
  <c r="H53" i="4"/>
  <c r="G53" i="4"/>
  <c r="F53" i="4"/>
  <c r="E53" i="4"/>
  <c r="D53" i="4"/>
  <c r="C53" i="4"/>
  <c r="BK52" i="4"/>
  <c r="BJ52" i="4"/>
  <c r="BI52" i="4"/>
  <c r="BH52" i="4"/>
  <c r="BG52" i="4"/>
  <c r="BF52" i="4"/>
  <c r="BE52" i="4"/>
  <c r="BD52" i="4"/>
  <c r="BC52" i="4"/>
  <c r="BB52" i="4"/>
  <c r="BA52" i="4"/>
  <c r="AZ52" i="4"/>
  <c r="AY52" i="4"/>
  <c r="AX52" i="4"/>
  <c r="AW52" i="4"/>
  <c r="AV52" i="4"/>
  <c r="AU52" i="4"/>
  <c r="AT52" i="4"/>
  <c r="AS52" i="4"/>
  <c r="AR52" i="4"/>
  <c r="AQ52" i="4"/>
  <c r="AP52" i="4"/>
  <c r="AO52" i="4"/>
  <c r="AN52" i="4"/>
  <c r="AM52" i="4"/>
  <c r="AL52" i="4"/>
  <c r="AK52" i="4"/>
  <c r="AJ52" i="4"/>
  <c r="AI52" i="4"/>
  <c r="AH52" i="4"/>
  <c r="AG52" i="4"/>
  <c r="AF52" i="4"/>
  <c r="AE52" i="4"/>
  <c r="AD52" i="4"/>
  <c r="AC52" i="4"/>
  <c r="AB52" i="4"/>
  <c r="AA52" i="4"/>
  <c r="Z52" i="4"/>
  <c r="Y52" i="4"/>
  <c r="X52" i="4"/>
  <c r="W52" i="4"/>
  <c r="V52" i="4"/>
  <c r="U52" i="4"/>
  <c r="T52" i="4"/>
  <c r="S52" i="4"/>
  <c r="R52" i="4"/>
  <c r="Q52" i="4"/>
  <c r="P52" i="4"/>
  <c r="O52" i="4"/>
  <c r="N52" i="4"/>
  <c r="M52" i="4"/>
  <c r="L52" i="4"/>
  <c r="K52" i="4"/>
  <c r="J52" i="4"/>
  <c r="I52" i="4"/>
  <c r="H52" i="4"/>
  <c r="G52" i="4"/>
  <c r="F52" i="4"/>
  <c r="E52" i="4"/>
  <c r="D52" i="4"/>
  <c r="C52" i="4"/>
  <c r="BK51" i="4"/>
  <c r="BJ51" i="4"/>
  <c r="BI51" i="4"/>
  <c r="BH51" i="4"/>
  <c r="BG51" i="4"/>
  <c r="BF51" i="4"/>
  <c r="BE51" i="4"/>
  <c r="BD51" i="4"/>
  <c r="BC51" i="4"/>
  <c r="BB51" i="4"/>
  <c r="BA51" i="4"/>
  <c r="AZ51" i="4"/>
  <c r="AY51" i="4"/>
  <c r="AX51" i="4"/>
  <c r="AW51" i="4"/>
  <c r="AV51" i="4"/>
  <c r="AU51" i="4"/>
  <c r="AT51" i="4"/>
  <c r="AS51" i="4"/>
  <c r="AR51" i="4"/>
  <c r="AQ51" i="4"/>
  <c r="AP51" i="4"/>
  <c r="AO51" i="4"/>
  <c r="AN51" i="4"/>
  <c r="AM51" i="4"/>
  <c r="AL51" i="4"/>
  <c r="AK51" i="4"/>
  <c r="AJ51" i="4"/>
  <c r="AI51" i="4"/>
  <c r="AH51" i="4"/>
  <c r="AG51" i="4"/>
  <c r="AF51" i="4"/>
  <c r="AE51" i="4"/>
  <c r="AD51" i="4"/>
  <c r="AC51" i="4"/>
  <c r="AB51" i="4"/>
  <c r="AA51" i="4"/>
  <c r="Z51" i="4"/>
  <c r="Y51" i="4"/>
  <c r="X51" i="4"/>
  <c r="W51" i="4"/>
  <c r="V51" i="4"/>
  <c r="U51" i="4"/>
  <c r="T51" i="4"/>
  <c r="S51" i="4"/>
  <c r="R51" i="4"/>
  <c r="Q51" i="4"/>
  <c r="P51" i="4"/>
  <c r="O51" i="4"/>
  <c r="N51" i="4"/>
  <c r="M51" i="4"/>
  <c r="L51" i="4"/>
  <c r="K51" i="4"/>
  <c r="J51" i="4"/>
  <c r="I51" i="4"/>
  <c r="H51" i="4"/>
  <c r="G51" i="4"/>
  <c r="F51" i="4"/>
  <c r="E51" i="4"/>
  <c r="D51" i="4"/>
  <c r="C51" i="4"/>
  <c r="BK50" i="4"/>
  <c r="BJ50" i="4"/>
  <c r="BI50" i="4"/>
  <c r="BH50" i="4"/>
  <c r="BG50" i="4"/>
  <c r="BF50" i="4"/>
  <c r="BE50" i="4"/>
  <c r="BD50" i="4"/>
  <c r="BC50" i="4"/>
  <c r="BB50" i="4"/>
  <c r="BA50" i="4"/>
  <c r="AZ50" i="4"/>
  <c r="AY50" i="4"/>
  <c r="AX50" i="4"/>
  <c r="AW50" i="4"/>
  <c r="AV50" i="4"/>
  <c r="AU50" i="4"/>
  <c r="AT50" i="4"/>
  <c r="AS50" i="4"/>
  <c r="AR50" i="4"/>
  <c r="AQ50" i="4"/>
  <c r="AP50" i="4"/>
  <c r="AO50" i="4"/>
  <c r="AN50" i="4"/>
  <c r="AM50" i="4"/>
  <c r="AL50" i="4"/>
  <c r="AK50" i="4"/>
  <c r="AJ50" i="4"/>
  <c r="AI50" i="4"/>
  <c r="AH50" i="4"/>
  <c r="AG50" i="4"/>
  <c r="AF50" i="4"/>
  <c r="AE50" i="4"/>
  <c r="AD50" i="4"/>
  <c r="AC50" i="4"/>
  <c r="AB50" i="4"/>
  <c r="AA50" i="4"/>
  <c r="Z50" i="4"/>
  <c r="Y50" i="4"/>
  <c r="X50" i="4"/>
  <c r="W50" i="4"/>
  <c r="V50" i="4"/>
  <c r="U50" i="4"/>
  <c r="T50" i="4"/>
  <c r="S50" i="4"/>
  <c r="R50" i="4"/>
  <c r="Q50" i="4"/>
  <c r="P50" i="4"/>
  <c r="O50" i="4"/>
  <c r="N50" i="4"/>
  <c r="M50" i="4"/>
  <c r="L50" i="4"/>
  <c r="K50" i="4"/>
  <c r="J50" i="4"/>
  <c r="I50" i="4"/>
  <c r="H50" i="4"/>
  <c r="G50" i="4"/>
  <c r="F50" i="4"/>
  <c r="E50" i="4"/>
  <c r="D50" i="4"/>
  <c r="C50" i="4"/>
  <c r="BK49" i="4"/>
  <c r="BJ49" i="4"/>
  <c r="BI49" i="4"/>
  <c r="BH49" i="4"/>
  <c r="BG49" i="4"/>
  <c r="BF49" i="4"/>
  <c r="BE49" i="4"/>
  <c r="BD49" i="4"/>
  <c r="BC49" i="4"/>
  <c r="BB49" i="4"/>
  <c r="BA49" i="4"/>
  <c r="AZ49" i="4"/>
  <c r="AY49" i="4"/>
  <c r="AX49" i="4"/>
  <c r="AW49" i="4"/>
  <c r="AV49" i="4"/>
  <c r="AU49" i="4"/>
  <c r="AT49" i="4"/>
  <c r="AS49" i="4"/>
  <c r="AR49" i="4"/>
  <c r="AQ49" i="4"/>
  <c r="AP49" i="4"/>
  <c r="AO49" i="4"/>
  <c r="AN49" i="4"/>
  <c r="AM49" i="4"/>
  <c r="AL49" i="4"/>
  <c r="AK49" i="4"/>
  <c r="AJ49" i="4"/>
  <c r="AI49" i="4"/>
  <c r="AH49" i="4"/>
  <c r="AG49" i="4"/>
  <c r="AF49" i="4"/>
  <c r="AE49" i="4"/>
  <c r="AD49" i="4"/>
  <c r="AC49" i="4"/>
  <c r="AB49" i="4"/>
  <c r="AA49" i="4"/>
  <c r="Z49" i="4"/>
  <c r="Y49" i="4"/>
  <c r="X49" i="4"/>
  <c r="W49" i="4"/>
  <c r="V49" i="4"/>
  <c r="U49" i="4"/>
  <c r="T49" i="4"/>
  <c r="S49" i="4"/>
  <c r="R49" i="4"/>
  <c r="Q49" i="4"/>
  <c r="P49" i="4"/>
  <c r="O49" i="4"/>
  <c r="N49" i="4"/>
  <c r="M49" i="4"/>
  <c r="L49" i="4"/>
  <c r="K49" i="4"/>
  <c r="J49" i="4"/>
  <c r="I49" i="4"/>
  <c r="H49" i="4"/>
  <c r="G49" i="4"/>
  <c r="F49" i="4"/>
  <c r="E49" i="4"/>
  <c r="D49" i="4"/>
  <c r="C49" i="4"/>
  <c r="BK48" i="4"/>
  <c r="BJ48" i="4"/>
  <c r="BI48" i="4"/>
  <c r="BH48" i="4"/>
  <c r="BG48" i="4"/>
  <c r="BF48" i="4"/>
  <c r="BE48" i="4"/>
  <c r="BD48" i="4"/>
  <c r="BC48" i="4"/>
  <c r="BB48" i="4"/>
  <c r="BA48" i="4"/>
  <c r="AZ48" i="4"/>
  <c r="AY48" i="4"/>
  <c r="AX48" i="4"/>
  <c r="AW48" i="4"/>
  <c r="AV48" i="4"/>
  <c r="AU48" i="4"/>
  <c r="AT48" i="4"/>
  <c r="AS48" i="4"/>
  <c r="AR48" i="4"/>
  <c r="AQ48" i="4"/>
  <c r="AP48" i="4"/>
  <c r="AO48" i="4"/>
  <c r="AN48" i="4"/>
  <c r="AM48" i="4"/>
  <c r="AL48" i="4"/>
  <c r="AK48" i="4"/>
  <c r="AJ48" i="4"/>
  <c r="AI48" i="4"/>
  <c r="AH48" i="4"/>
  <c r="AG48" i="4"/>
  <c r="AF48" i="4"/>
  <c r="AE48" i="4"/>
  <c r="AD48" i="4"/>
  <c r="AC48" i="4"/>
  <c r="AB48" i="4"/>
  <c r="AA48" i="4"/>
  <c r="Z48" i="4"/>
  <c r="Y48" i="4"/>
  <c r="X48" i="4"/>
  <c r="W48" i="4"/>
  <c r="V48" i="4"/>
  <c r="U48" i="4"/>
  <c r="T48" i="4"/>
  <c r="S48" i="4"/>
  <c r="R48" i="4"/>
  <c r="Q48" i="4"/>
  <c r="P48" i="4"/>
  <c r="O48" i="4"/>
  <c r="N48" i="4"/>
  <c r="M48" i="4"/>
  <c r="L48" i="4"/>
  <c r="K48" i="4"/>
  <c r="J48" i="4"/>
  <c r="I48" i="4"/>
  <c r="H48" i="4"/>
  <c r="G48" i="4"/>
  <c r="F48" i="4"/>
  <c r="E48" i="4"/>
  <c r="D48" i="4"/>
  <c r="C48" i="4"/>
  <c r="BK47" i="4"/>
  <c r="BJ47" i="4"/>
  <c r="BI47" i="4"/>
  <c r="BH47" i="4"/>
  <c r="BG47" i="4"/>
  <c r="BF47" i="4"/>
  <c r="BE47" i="4"/>
  <c r="BD47" i="4"/>
  <c r="BC47" i="4"/>
  <c r="BB47" i="4"/>
  <c r="BA47" i="4"/>
  <c r="AZ47" i="4"/>
  <c r="AY47" i="4"/>
  <c r="AX47" i="4"/>
  <c r="AW47" i="4"/>
  <c r="AV47" i="4"/>
  <c r="AU47" i="4"/>
  <c r="AT47" i="4"/>
  <c r="AS47" i="4"/>
  <c r="AR47" i="4"/>
  <c r="AQ47" i="4"/>
  <c r="AP47" i="4"/>
  <c r="AO47" i="4"/>
  <c r="AN47" i="4"/>
  <c r="AM47" i="4"/>
  <c r="AL47" i="4"/>
  <c r="AK47" i="4"/>
  <c r="AJ47" i="4"/>
  <c r="AI47" i="4"/>
  <c r="AH47" i="4"/>
  <c r="AG47" i="4"/>
  <c r="AF47" i="4"/>
  <c r="AE47" i="4"/>
  <c r="AD47" i="4"/>
  <c r="AC47" i="4"/>
  <c r="AB47" i="4"/>
  <c r="AA47" i="4"/>
  <c r="Z47" i="4"/>
  <c r="Y47" i="4"/>
  <c r="X47" i="4"/>
  <c r="W47" i="4"/>
  <c r="V47" i="4"/>
  <c r="U47" i="4"/>
  <c r="T47" i="4"/>
  <c r="S47" i="4"/>
  <c r="R47" i="4"/>
  <c r="Q47" i="4"/>
  <c r="P47" i="4"/>
  <c r="O47" i="4"/>
  <c r="N47" i="4"/>
  <c r="M47" i="4"/>
  <c r="L47" i="4"/>
  <c r="K47" i="4"/>
  <c r="J47" i="4"/>
  <c r="I47" i="4"/>
  <c r="H47" i="4"/>
  <c r="G47" i="4"/>
  <c r="F47" i="4"/>
  <c r="E47" i="4"/>
  <c r="D47" i="4"/>
  <c r="C47" i="4"/>
  <c r="BK46" i="4"/>
  <c r="BJ46" i="4"/>
  <c r="BI46" i="4"/>
  <c r="BH46" i="4"/>
  <c r="BG46" i="4"/>
  <c r="BF46" i="4"/>
  <c r="BE46" i="4"/>
  <c r="BD46" i="4"/>
  <c r="BC46" i="4"/>
  <c r="BB46" i="4"/>
  <c r="BA46" i="4"/>
  <c r="AZ46" i="4"/>
  <c r="AY46" i="4"/>
  <c r="AX46" i="4"/>
  <c r="AW46" i="4"/>
  <c r="AV46" i="4"/>
  <c r="AU46" i="4"/>
  <c r="AT46" i="4"/>
  <c r="AS46" i="4"/>
  <c r="AR46" i="4"/>
  <c r="AQ46" i="4"/>
  <c r="AP46" i="4"/>
  <c r="AO46" i="4"/>
  <c r="AN46" i="4"/>
  <c r="AM46" i="4"/>
  <c r="AL46" i="4"/>
  <c r="AK46" i="4"/>
  <c r="AJ46" i="4"/>
  <c r="AI46" i="4"/>
  <c r="AH46" i="4"/>
  <c r="AG46" i="4"/>
  <c r="AF46" i="4"/>
  <c r="AE46" i="4"/>
  <c r="AD46" i="4"/>
  <c r="AC46" i="4"/>
  <c r="AB46" i="4"/>
  <c r="AA46" i="4"/>
  <c r="Z46" i="4"/>
  <c r="Y46" i="4"/>
  <c r="X46" i="4"/>
  <c r="W46" i="4"/>
  <c r="V46" i="4"/>
  <c r="U46" i="4"/>
  <c r="T46" i="4"/>
  <c r="S46" i="4"/>
  <c r="R46" i="4"/>
  <c r="Q46" i="4"/>
  <c r="P46" i="4"/>
  <c r="O46" i="4"/>
  <c r="N46" i="4"/>
  <c r="M46" i="4"/>
  <c r="L46" i="4"/>
  <c r="K46" i="4"/>
  <c r="J46" i="4"/>
  <c r="I46" i="4"/>
  <c r="H46" i="4"/>
  <c r="G46" i="4"/>
  <c r="F46" i="4"/>
  <c r="E46" i="4"/>
  <c r="D46" i="4"/>
  <c r="C46" i="4"/>
  <c r="BK45" i="4"/>
  <c r="BJ45" i="4"/>
  <c r="BI45" i="4"/>
  <c r="BH45" i="4"/>
  <c r="BG45" i="4"/>
  <c r="BF45" i="4"/>
  <c r="BE45" i="4"/>
  <c r="BD45" i="4"/>
  <c r="BC45" i="4"/>
  <c r="BB45" i="4"/>
  <c r="BA45" i="4"/>
  <c r="AZ45" i="4"/>
  <c r="AY45" i="4"/>
  <c r="AX45" i="4"/>
  <c r="AW45" i="4"/>
  <c r="AV45" i="4"/>
  <c r="AU45" i="4"/>
  <c r="AT45" i="4"/>
  <c r="AS45" i="4"/>
  <c r="AR45" i="4"/>
  <c r="AQ45" i="4"/>
  <c r="AP45" i="4"/>
  <c r="AO45" i="4"/>
  <c r="AN45" i="4"/>
  <c r="AM45" i="4"/>
  <c r="AL45" i="4"/>
  <c r="AK45" i="4"/>
  <c r="AJ45" i="4"/>
  <c r="AI45" i="4"/>
  <c r="AH45" i="4"/>
  <c r="AG45" i="4"/>
  <c r="AF45" i="4"/>
  <c r="AE45" i="4"/>
  <c r="AD45" i="4"/>
  <c r="AC45" i="4"/>
  <c r="AB45" i="4"/>
  <c r="AA45" i="4"/>
  <c r="Z45" i="4"/>
  <c r="Y45" i="4"/>
  <c r="X45" i="4"/>
  <c r="W45" i="4"/>
  <c r="V45" i="4"/>
  <c r="U45" i="4"/>
  <c r="T45" i="4"/>
  <c r="S45" i="4"/>
  <c r="R45" i="4"/>
  <c r="Q45" i="4"/>
  <c r="P45" i="4"/>
  <c r="O45" i="4"/>
  <c r="N45" i="4"/>
  <c r="M45" i="4"/>
  <c r="L45" i="4"/>
  <c r="K45" i="4"/>
  <c r="J45" i="4"/>
  <c r="I45" i="4"/>
  <c r="H45" i="4"/>
  <c r="G45" i="4"/>
  <c r="F45" i="4"/>
  <c r="E45" i="4"/>
  <c r="D45" i="4"/>
  <c r="C45" i="4"/>
  <c r="BK44" i="4"/>
  <c r="BJ44" i="4"/>
  <c r="BI44" i="4"/>
  <c r="BH44" i="4"/>
  <c r="BG44" i="4"/>
  <c r="BF44" i="4"/>
  <c r="BE44" i="4"/>
  <c r="BD44" i="4"/>
  <c r="BC44" i="4"/>
  <c r="BB44" i="4"/>
  <c r="BA44" i="4"/>
  <c r="AZ44" i="4"/>
  <c r="AY44" i="4"/>
  <c r="AX44" i="4"/>
  <c r="AW44" i="4"/>
  <c r="AV44" i="4"/>
  <c r="AU44" i="4"/>
  <c r="AT44" i="4"/>
  <c r="AS44" i="4"/>
  <c r="AR44" i="4"/>
  <c r="AQ44" i="4"/>
  <c r="AP44" i="4"/>
  <c r="AO44" i="4"/>
  <c r="AN44" i="4"/>
  <c r="AM44" i="4"/>
  <c r="AL44" i="4"/>
  <c r="AK44" i="4"/>
  <c r="AJ44" i="4"/>
  <c r="AI44" i="4"/>
  <c r="AH44" i="4"/>
  <c r="AG44" i="4"/>
  <c r="AF44" i="4"/>
  <c r="AE44" i="4"/>
  <c r="AD44" i="4"/>
  <c r="AC44" i="4"/>
  <c r="AB44" i="4"/>
  <c r="AA44" i="4"/>
  <c r="Z44" i="4"/>
  <c r="Y44" i="4"/>
  <c r="X44" i="4"/>
  <c r="W44" i="4"/>
  <c r="V44" i="4"/>
  <c r="U44" i="4"/>
  <c r="T44" i="4"/>
  <c r="S44" i="4"/>
  <c r="R44" i="4"/>
  <c r="Q44" i="4"/>
  <c r="P44" i="4"/>
  <c r="O44" i="4"/>
  <c r="N44" i="4"/>
  <c r="M44" i="4"/>
  <c r="L44" i="4"/>
  <c r="K44" i="4"/>
  <c r="J44" i="4"/>
  <c r="I44" i="4"/>
  <c r="H44" i="4"/>
  <c r="G44" i="4"/>
  <c r="F44" i="4"/>
  <c r="E44" i="4"/>
  <c r="D44" i="4"/>
  <c r="C44" i="4"/>
  <c r="BK43" i="4"/>
  <c r="BJ43" i="4"/>
  <c r="BI43" i="4"/>
  <c r="BH43" i="4"/>
  <c r="BG43" i="4"/>
  <c r="BF43" i="4"/>
  <c r="BE43" i="4"/>
  <c r="BD43" i="4"/>
  <c r="BC43" i="4"/>
  <c r="BB43" i="4"/>
  <c r="BA43" i="4"/>
  <c r="AZ43" i="4"/>
  <c r="AY43" i="4"/>
  <c r="AX43" i="4"/>
  <c r="AW43" i="4"/>
  <c r="AV43" i="4"/>
  <c r="AU43" i="4"/>
  <c r="AT43" i="4"/>
  <c r="AS43" i="4"/>
  <c r="AR43" i="4"/>
  <c r="AQ43" i="4"/>
  <c r="AP43" i="4"/>
  <c r="AO43" i="4"/>
  <c r="AN43" i="4"/>
  <c r="AM43" i="4"/>
  <c r="AL43" i="4"/>
  <c r="AK43" i="4"/>
  <c r="AJ43" i="4"/>
  <c r="AI43" i="4"/>
  <c r="AH43" i="4"/>
  <c r="AG43" i="4"/>
  <c r="AF43" i="4"/>
  <c r="AE43" i="4"/>
  <c r="AD43" i="4"/>
  <c r="AC43" i="4"/>
  <c r="AB43" i="4"/>
  <c r="AA43" i="4"/>
  <c r="Z43" i="4"/>
  <c r="Y43" i="4"/>
  <c r="X43" i="4"/>
  <c r="W43" i="4"/>
  <c r="V43" i="4"/>
  <c r="U43" i="4"/>
  <c r="T43" i="4"/>
  <c r="S43" i="4"/>
  <c r="R43" i="4"/>
  <c r="Q43" i="4"/>
  <c r="P43" i="4"/>
  <c r="O43" i="4"/>
  <c r="N43" i="4"/>
  <c r="M43" i="4"/>
  <c r="L43" i="4"/>
  <c r="K43" i="4"/>
  <c r="J43" i="4"/>
  <c r="I43" i="4"/>
  <c r="H43" i="4"/>
  <c r="G43" i="4"/>
  <c r="F43" i="4"/>
  <c r="E43" i="4"/>
  <c r="D43" i="4"/>
  <c r="C43" i="4"/>
  <c r="BK42" i="4"/>
  <c r="BJ42" i="4"/>
  <c r="BI42" i="4"/>
  <c r="BH42" i="4"/>
  <c r="BG42" i="4"/>
  <c r="BF42" i="4"/>
  <c r="BE42" i="4"/>
  <c r="BD42" i="4"/>
  <c r="BC42" i="4"/>
  <c r="BB42" i="4"/>
  <c r="BA42" i="4"/>
  <c r="AZ42" i="4"/>
  <c r="AY42" i="4"/>
  <c r="AX42" i="4"/>
  <c r="AW42" i="4"/>
  <c r="AV42" i="4"/>
  <c r="AU42" i="4"/>
  <c r="AT42" i="4"/>
  <c r="AS42" i="4"/>
  <c r="AR42" i="4"/>
  <c r="AQ42" i="4"/>
  <c r="AP42" i="4"/>
  <c r="AO42" i="4"/>
  <c r="AN42" i="4"/>
  <c r="AM42" i="4"/>
  <c r="AL42" i="4"/>
  <c r="AK42" i="4"/>
  <c r="AJ42" i="4"/>
  <c r="AI42" i="4"/>
  <c r="AH42" i="4"/>
  <c r="AG42" i="4"/>
  <c r="AF42" i="4"/>
  <c r="AE42" i="4"/>
  <c r="AD42" i="4"/>
  <c r="AC42" i="4"/>
  <c r="AB42" i="4"/>
  <c r="AA42" i="4"/>
  <c r="Z42" i="4"/>
  <c r="Y42" i="4"/>
  <c r="X42" i="4"/>
  <c r="W42" i="4"/>
  <c r="V42" i="4"/>
  <c r="U42" i="4"/>
  <c r="T42" i="4"/>
  <c r="S42" i="4"/>
  <c r="R42" i="4"/>
  <c r="Q42" i="4"/>
  <c r="P42" i="4"/>
  <c r="O42" i="4"/>
  <c r="N42" i="4"/>
  <c r="M42" i="4"/>
  <c r="L42" i="4"/>
  <c r="K42" i="4"/>
  <c r="J42" i="4"/>
  <c r="I42" i="4"/>
  <c r="H42" i="4"/>
  <c r="G42" i="4"/>
  <c r="F42" i="4"/>
  <c r="E42" i="4"/>
  <c r="D42" i="4"/>
  <c r="C42" i="4"/>
  <c r="BK41" i="4"/>
  <c r="BJ41" i="4"/>
  <c r="BI41" i="4"/>
  <c r="BH41" i="4"/>
  <c r="BG41" i="4"/>
  <c r="BF41" i="4"/>
  <c r="BE41" i="4"/>
  <c r="BD41" i="4"/>
  <c r="BC41" i="4"/>
  <c r="BB41" i="4"/>
  <c r="BA41" i="4"/>
  <c r="AZ41" i="4"/>
  <c r="AY41" i="4"/>
  <c r="AX41" i="4"/>
  <c r="AW41" i="4"/>
  <c r="AV41" i="4"/>
  <c r="AU41" i="4"/>
  <c r="AT41" i="4"/>
  <c r="AS41" i="4"/>
  <c r="AR41" i="4"/>
  <c r="AQ41" i="4"/>
  <c r="AP41" i="4"/>
  <c r="AO41" i="4"/>
  <c r="AN41" i="4"/>
  <c r="AM41" i="4"/>
  <c r="AL41" i="4"/>
  <c r="AK41" i="4"/>
  <c r="AJ41" i="4"/>
  <c r="AI41" i="4"/>
  <c r="AH41" i="4"/>
  <c r="AG41" i="4"/>
  <c r="AF41" i="4"/>
  <c r="AE41" i="4"/>
  <c r="AD41" i="4"/>
  <c r="AC41" i="4"/>
  <c r="AB41" i="4"/>
  <c r="AA41" i="4"/>
  <c r="Z41" i="4"/>
  <c r="Y41" i="4"/>
  <c r="X41" i="4"/>
  <c r="W41" i="4"/>
  <c r="V41" i="4"/>
  <c r="U41" i="4"/>
  <c r="T41" i="4"/>
  <c r="S41" i="4"/>
  <c r="R41" i="4"/>
  <c r="Q41" i="4"/>
  <c r="P41" i="4"/>
  <c r="O41" i="4"/>
  <c r="N41" i="4"/>
  <c r="M41" i="4"/>
  <c r="L41" i="4"/>
  <c r="K41" i="4"/>
  <c r="J41" i="4"/>
  <c r="I41" i="4"/>
  <c r="H41" i="4"/>
  <c r="G41" i="4"/>
  <c r="F41" i="4"/>
  <c r="E41" i="4"/>
  <c r="D41" i="4"/>
  <c r="C41" i="4"/>
  <c r="BK40" i="4"/>
  <c r="BJ40" i="4"/>
  <c r="BI40" i="4"/>
  <c r="BH40" i="4"/>
  <c r="BG40" i="4"/>
  <c r="BF40" i="4"/>
  <c r="BE40" i="4"/>
  <c r="BD40" i="4"/>
  <c r="BC40" i="4"/>
  <c r="BB40" i="4"/>
  <c r="BA40" i="4"/>
  <c r="AZ40" i="4"/>
  <c r="AY40" i="4"/>
  <c r="AX40" i="4"/>
  <c r="AW40" i="4"/>
  <c r="AV40" i="4"/>
  <c r="AU40" i="4"/>
  <c r="AT40" i="4"/>
  <c r="AS40" i="4"/>
  <c r="AR40" i="4"/>
  <c r="AQ40" i="4"/>
  <c r="AP40" i="4"/>
  <c r="AO40" i="4"/>
  <c r="AN40" i="4"/>
  <c r="AM40" i="4"/>
  <c r="AL40" i="4"/>
  <c r="AK40" i="4"/>
  <c r="AJ40" i="4"/>
  <c r="AI40" i="4"/>
  <c r="AH40" i="4"/>
  <c r="AG40" i="4"/>
  <c r="AF40" i="4"/>
  <c r="AE40" i="4"/>
  <c r="AD40" i="4"/>
  <c r="AC40" i="4"/>
  <c r="AB40" i="4"/>
  <c r="AA40" i="4"/>
  <c r="Z40" i="4"/>
  <c r="Y40" i="4"/>
  <c r="X40" i="4"/>
  <c r="W40" i="4"/>
  <c r="V40" i="4"/>
  <c r="U40" i="4"/>
  <c r="T40" i="4"/>
  <c r="S40" i="4"/>
  <c r="R40" i="4"/>
  <c r="Q40" i="4"/>
  <c r="P40" i="4"/>
  <c r="O40" i="4"/>
  <c r="N40" i="4"/>
  <c r="M40" i="4"/>
  <c r="L40" i="4"/>
  <c r="K40" i="4"/>
  <c r="J40" i="4"/>
  <c r="I40" i="4"/>
  <c r="H40" i="4"/>
  <c r="G40" i="4"/>
  <c r="F40" i="4"/>
  <c r="E40" i="4"/>
  <c r="D40" i="4"/>
  <c r="C40" i="4"/>
  <c r="BK39" i="4"/>
  <c r="BJ39" i="4"/>
  <c r="BI39" i="4"/>
  <c r="BH39" i="4"/>
  <c r="BG39" i="4"/>
  <c r="BF39" i="4"/>
  <c r="BE39" i="4"/>
  <c r="BD39" i="4"/>
  <c r="BC39" i="4"/>
  <c r="BB39" i="4"/>
  <c r="BA39" i="4"/>
  <c r="AZ39" i="4"/>
  <c r="AY39" i="4"/>
  <c r="AX39" i="4"/>
  <c r="AW39" i="4"/>
  <c r="AV39" i="4"/>
  <c r="AU39" i="4"/>
  <c r="AT39" i="4"/>
  <c r="AS39" i="4"/>
  <c r="AR39" i="4"/>
  <c r="AQ39" i="4"/>
  <c r="AP39" i="4"/>
  <c r="AO39" i="4"/>
  <c r="AN39" i="4"/>
  <c r="AM39" i="4"/>
  <c r="AL39" i="4"/>
  <c r="AK39" i="4"/>
  <c r="AJ39" i="4"/>
  <c r="AI39" i="4"/>
  <c r="AH39" i="4"/>
  <c r="AG39" i="4"/>
  <c r="AF39" i="4"/>
  <c r="AE39" i="4"/>
  <c r="AD39" i="4"/>
  <c r="AC39" i="4"/>
  <c r="AB39" i="4"/>
  <c r="AA39" i="4"/>
  <c r="Z39" i="4"/>
  <c r="Y39" i="4"/>
  <c r="X39" i="4"/>
  <c r="W39" i="4"/>
  <c r="V39" i="4"/>
  <c r="U39" i="4"/>
  <c r="T39" i="4"/>
  <c r="S39" i="4"/>
  <c r="R39" i="4"/>
  <c r="Q39" i="4"/>
  <c r="P39" i="4"/>
  <c r="O39" i="4"/>
  <c r="N39" i="4"/>
  <c r="M39" i="4"/>
  <c r="L39" i="4"/>
  <c r="K39" i="4"/>
  <c r="J39" i="4"/>
  <c r="I39" i="4"/>
  <c r="H39" i="4"/>
  <c r="G39" i="4"/>
  <c r="F39" i="4"/>
  <c r="E39" i="4"/>
  <c r="D39" i="4"/>
  <c r="C39" i="4"/>
  <c r="BK38" i="4"/>
  <c r="BJ38" i="4"/>
  <c r="BI38" i="4"/>
  <c r="BH38" i="4"/>
  <c r="BG38" i="4"/>
  <c r="BF38" i="4"/>
  <c r="BE38" i="4"/>
  <c r="BD38" i="4"/>
  <c r="BC38" i="4"/>
  <c r="BB38" i="4"/>
  <c r="BA38" i="4"/>
  <c r="AZ38" i="4"/>
  <c r="AY38" i="4"/>
  <c r="AX38" i="4"/>
  <c r="AW38" i="4"/>
  <c r="AV38" i="4"/>
  <c r="AU38" i="4"/>
  <c r="AT38" i="4"/>
  <c r="AS38" i="4"/>
  <c r="AR38" i="4"/>
  <c r="AQ38" i="4"/>
  <c r="AP38" i="4"/>
  <c r="AO38" i="4"/>
  <c r="AN38" i="4"/>
  <c r="AM38" i="4"/>
  <c r="AL38" i="4"/>
  <c r="AK38" i="4"/>
  <c r="AJ38" i="4"/>
  <c r="AI38" i="4"/>
  <c r="AH38" i="4"/>
  <c r="AG38" i="4"/>
  <c r="AF38" i="4"/>
  <c r="AE38" i="4"/>
  <c r="AD38" i="4"/>
  <c r="AC38" i="4"/>
  <c r="AB38" i="4"/>
  <c r="AA38" i="4"/>
  <c r="Z38" i="4"/>
  <c r="Y38" i="4"/>
  <c r="X38" i="4"/>
  <c r="W38" i="4"/>
  <c r="V38" i="4"/>
  <c r="U38" i="4"/>
  <c r="T38" i="4"/>
  <c r="S38" i="4"/>
  <c r="R38" i="4"/>
  <c r="Q38" i="4"/>
  <c r="P38" i="4"/>
  <c r="O38" i="4"/>
  <c r="N38" i="4"/>
  <c r="M38" i="4"/>
  <c r="L38" i="4"/>
  <c r="K38" i="4"/>
  <c r="J38" i="4"/>
  <c r="I38" i="4"/>
  <c r="H38" i="4"/>
  <c r="G38" i="4"/>
  <c r="F38" i="4"/>
  <c r="E38" i="4"/>
  <c r="D38" i="4"/>
  <c r="C38" i="4"/>
  <c r="BK37" i="4"/>
  <c r="BJ37" i="4"/>
  <c r="BI37" i="4"/>
  <c r="BH37" i="4"/>
  <c r="BG37" i="4"/>
  <c r="BF37" i="4"/>
  <c r="BE37" i="4"/>
  <c r="BD37" i="4"/>
  <c r="BC37" i="4"/>
  <c r="BB37" i="4"/>
  <c r="BA37" i="4"/>
  <c r="AZ37" i="4"/>
  <c r="AY37" i="4"/>
  <c r="AX37" i="4"/>
  <c r="AW37" i="4"/>
  <c r="AV37" i="4"/>
  <c r="AU37" i="4"/>
  <c r="AT37" i="4"/>
  <c r="AS37" i="4"/>
  <c r="AR37" i="4"/>
  <c r="AQ37" i="4"/>
  <c r="AP37" i="4"/>
  <c r="AO37" i="4"/>
  <c r="AN37" i="4"/>
  <c r="AM37" i="4"/>
  <c r="AL37" i="4"/>
  <c r="AK37" i="4"/>
  <c r="AJ37" i="4"/>
  <c r="AI37" i="4"/>
  <c r="AH37" i="4"/>
  <c r="AG37" i="4"/>
  <c r="AF37" i="4"/>
  <c r="AE37" i="4"/>
  <c r="AD37" i="4"/>
  <c r="AC37" i="4"/>
  <c r="AB37" i="4"/>
  <c r="AA37" i="4"/>
  <c r="Z37" i="4"/>
  <c r="Y37" i="4"/>
  <c r="X37" i="4"/>
  <c r="W37" i="4"/>
  <c r="V37" i="4"/>
  <c r="U37" i="4"/>
  <c r="T37" i="4"/>
  <c r="S37" i="4"/>
  <c r="R37" i="4"/>
  <c r="Q37" i="4"/>
  <c r="P37" i="4"/>
  <c r="O37" i="4"/>
  <c r="N37" i="4"/>
  <c r="M37" i="4"/>
  <c r="L37" i="4"/>
  <c r="K37" i="4"/>
  <c r="J37" i="4"/>
  <c r="I37" i="4"/>
  <c r="H37" i="4"/>
  <c r="G37" i="4"/>
  <c r="F37" i="4"/>
  <c r="E37" i="4"/>
  <c r="D37" i="4"/>
  <c r="C37" i="4"/>
  <c r="BK36" i="4"/>
  <c r="BJ36" i="4"/>
  <c r="BI36" i="4"/>
  <c r="BH36" i="4"/>
  <c r="BG36" i="4"/>
  <c r="BF36" i="4"/>
  <c r="BE36" i="4"/>
  <c r="BD36" i="4"/>
  <c r="BC36" i="4"/>
  <c r="BB36" i="4"/>
  <c r="BA36" i="4"/>
  <c r="AZ36" i="4"/>
  <c r="AY36" i="4"/>
  <c r="AX36" i="4"/>
  <c r="AW36" i="4"/>
  <c r="AV36" i="4"/>
  <c r="AU36" i="4"/>
  <c r="AT36" i="4"/>
  <c r="AS36" i="4"/>
  <c r="AR36" i="4"/>
  <c r="AQ36" i="4"/>
  <c r="AP36" i="4"/>
  <c r="AO36" i="4"/>
  <c r="AN36" i="4"/>
  <c r="AM36" i="4"/>
  <c r="AL36" i="4"/>
  <c r="AK36" i="4"/>
  <c r="AJ36" i="4"/>
  <c r="AI36" i="4"/>
  <c r="AH36" i="4"/>
  <c r="AG36" i="4"/>
  <c r="AF36" i="4"/>
  <c r="AE36" i="4"/>
  <c r="AD36" i="4"/>
  <c r="AC36" i="4"/>
  <c r="AB36" i="4"/>
  <c r="AA36" i="4"/>
  <c r="Z36" i="4"/>
  <c r="Y36" i="4"/>
  <c r="X36" i="4"/>
  <c r="W36" i="4"/>
  <c r="V36" i="4"/>
  <c r="U36" i="4"/>
  <c r="T36" i="4"/>
  <c r="S36" i="4"/>
  <c r="R36" i="4"/>
  <c r="Q36" i="4"/>
  <c r="P36" i="4"/>
  <c r="O36" i="4"/>
  <c r="N36" i="4"/>
  <c r="M36" i="4"/>
  <c r="L36" i="4"/>
  <c r="K36" i="4"/>
  <c r="J36" i="4"/>
  <c r="I36" i="4"/>
  <c r="H36" i="4"/>
  <c r="G36" i="4"/>
  <c r="F36" i="4"/>
  <c r="E36" i="4"/>
  <c r="D36" i="4"/>
  <c r="C36" i="4"/>
  <c r="BK35" i="4"/>
  <c r="BJ35" i="4"/>
  <c r="BI35" i="4"/>
  <c r="BH35" i="4"/>
  <c r="BG35" i="4"/>
  <c r="BF35" i="4"/>
  <c r="BE35" i="4"/>
  <c r="BD35" i="4"/>
  <c r="BC35" i="4"/>
  <c r="BB35" i="4"/>
  <c r="BA35" i="4"/>
  <c r="AZ35" i="4"/>
  <c r="AY35" i="4"/>
  <c r="AX35" i="4"/>
  <c r="AW35" i="4"/>
  <c r="AV35" i="4"/>
  <c r="AU35" i="4"/>
  <c r="AT35" i="4"/>
  <c r="AS35" i="4"/>
  <c r="AR35" i="4"/>
  <c r="AQ35" i="4"/>
  <c r="AP35" i="4"/>
  <c r="AO35" i="4"/>
  <c r="AN35" i="4"/>
  <c r="AM35" i="4"/>
  <c r="AL35" i="4"/>
  <c r="AK35" i="4"/>
  <c r="AJ35" i="4"/>
  <c r="AI35" i="4"/>
  <c r="AH35" i="4"/>
  <c r="AG35" i="4"/>
  <c r="AF35" i="4"/>
  <c r="AE35" i="4"/>
  <c r="AD35" i="4"/>
  <c r="AC35" i="4"/>
  <c r="AB35" i="4"/>
  <c r="AA35" i="4"/>
  <c r="Z35" i="4"/>
  <c r="Y35" i="4"/>
  <c r="X35" i="4"/>
  <c r="W35" i="4"/>
  <c r="V35" i="4"/>
  <c r="U35" i="4"/>
  <c r="T35" i="4"/>
  <c r="S35" i="4"/>
  <c r="R35" i="4"/>
  <c r="Q35" i="4"/>
  <c r="P35" i="4"/>
  <c r="O35" i="4"/>
  <c r="N35" i="4"/>
  <c r="M35" i="4"/>
  <c r="L35" i="4"/>
  <c r="K35" i="4"/>
  <c r="J35" i="4"/>
  <c r="I35" i="4"/>
  <c r="H35" i="4"/>
  <c r="G35" i="4"/>
  <c r="F35" i="4"/>
  <c r="E35" i="4"/>
  <c r="D35" i="4"/>
  <c r="C35" i="4"/>
  <c r="BK34" i="4"/>
  <c r="BJ34" i="4"/>
  <c r="BI34" i="4"/>
  <c r="BH34" i="4"/>
  <c r="BG34" i="4"/>
  <c r="BF34" i="4"/>
  <c r="BE34" i="4"/>
  <c r="BD34" i="4"/>
  <c r="BC34" i="4"/>
  <c r="BB34" i="4"/>
  <c r="BA34" i="4"/>
  <c r="AZ34" i="4"/>
  <c r="AY34" i="4"/>
  <c r="AX34" i="4"/>
  <c r="AW34" i="4"/>
  <c r="AV34" i="4"/>
  <c r="AU34" i="4"/>
  <c r="AT34" i="4"/>
  <c r="AS34" i="4"/>
  <c r="AR34" i="4"/>
  <c r="AQ34" i="4"/>
  <c r="AP34" i="4"/>
  <c r="AO34" i="4"/>
  <c r="AN34" i="4"/>
  <c r="AM34" i="4"/>
  <c r="AL34" i="4"/>
  <c r="AK34" i="4"/>
  <c r="AJ34" i="4"/>
  <c r="AI34" i="4"/>
  <c r="AH34" i="4"/>
  <c r="AG34" i="4"/>
  <c r="AF34" i="4"/>
  <c r="AE34" i="4"/>
  <c r="AD34" i="4"/>
  <c r="AC34" i="4"/>
  <c r="AB34" i="4"/>
  <c r="AA34" i="4"/>
  <c r="Z34" i="4"/>
  <c r="Y34" i="4"/>
  <c r="X34" i="4"/>
  <c r="W34" i="4"/>
  <c r="V34" i="4"/>
  <c r="U34" i="4"/>
  <c r="T34" i="4"/>
  <c r="S34" i="4"/>
  <c r="R34" i="4"/>
  <c r="Q34" i="4"/>
  <c r="P34" i="4"/>
  <c r="O34" i="4"/>
  <c r="N34" i="4"/>
  <c r="M34" i="4"/>
  <c r="L34" i="4"/>
  <c r="K34" i="4"/>
  <c r="J34" i="4"/>
  <c r="I34" i="4"/>
  <c r="H34" i="4"/>
  <c r="G34" i="4"/>
  <c r="F34" i="4"/>
  <c r="E34" i="4"/>
  <c r="D34" i="4"/>
  <c r="C34" i="4"/>
  <c r="BK33" i="4"/>
  <c r="BJ33" i="4"/>
  <c r="BI33" i="4"/>
  <c r="BH33" i="4"/>
  <c r="BG33" i="4"/>
  <c r="BF33" i="4"/>
  <c r="BE33" i="4"/>
  <c r="BD33" i="4"/>
  <c r="BC33" i="4"/>
  <c r="BB33" i="4"/>
  <c r="BA33" i="4"/>
  <c r="AZ33" i="4"/>
  <c r="AY33" i="4"/>
  <c r="AX33" i="4"/>
  <c r="AW33" i="4"/>
  <c r="AV33" i="4"/>
  <c r="AU33" i="4"/>
  <c r="AT33" i="4"/>
  <c r="AS33" i="4"/>
  <c r="AR33" i="4"/>
  <c r="AQ33" i="4"/>
  <c r="AP33" i="4"/>
  <c r="AO33" i="4"/>
  <c r="AN33" i="4"/>
  <c r="AM33" i="4"/>
  <c r="AL33" i="4"/>
  <c r="AK33" i="4"/>
  <c r="AJ33" i="4"/>
  <c r="AI33" i="4"/>
  <c r="AH33" i="4"/>
  <c r="AG33" i="4"/>
  <c r="AF33" i="4"/>
  <c r="AE33" i="4"/>
  <c r="AD33" i="4"/>
  <c r="AC33" i="4"/>
  <c r="AB33" i="4"/>
  <c r="AA33" i="4"/>
  <c r="Z33" i="4"/>
  <c r="Y33" i="4"/>
  <c r="X33" i="4"/>
  <c r="W33" i="4"/>
  <c r="V33" i="4"/>
  <c r="U33" i="4"/>
  <c r="T33" i="4"/>
  <c r="S33" i="4"/>
  <c r="R33" i="4"/>
  <c r="Q33" i="4"/>
  <c r="P33" i="4"/>
  <c r="O33" i="4"/>
  <c r="N33" i="4"/>
  <c r="M33" i="4"/>
  <c r="L33" i="4"/>
  <c r="K33" i="4"/>
  <c r="J33" i="4"/>
  <c r="I33" i="4"/>
  <c r="H33" i="4"/>
  <c r="G33" i="4"/>
  <c r="F33" i="4"/>
  <c r="E33" i="4"/>
  <c r="D33" i="4"/>
  <c r="C33" i="4"/>
  <c r="BK32" i="4"/>
  <c r="BJ32" i="4"/>
  <c r="BI32" i="4"/>
  <c r="BH32" i="4"/>
  <c r="BG32" i="4"/>
  <c r="BF32" i="4"/>
  <c r="BE32" i="4"/>
  <c r="BD32" i="4"/>
  <c r="BC32" i="4"/>
  <c r="BB32" i="4"/>
  <c r="BA32" i="4"/>
  <c r="AZ32" i="4"/>
  <c r="AY32" i="4"/>
  <c r="AX32" i="4"/>
  <c r="AW32" i="4"/>
  <c r="AV32" i="4"/>
  <c r="AU32" i="4"/>
  <c r="AT32" i="4"/>
  <c r="AS32" i="4"/>
  <c r="AR32" i="4"/>
  <c r="AQ32" i="4"/>
  <c r="AP32" i="4"/>
  <c r="AO32" i="4"/>
  <c r="AN32" i="4"/>
  <c r="AM32" i="4"/>
  <c r="AL32" i="4"/>
  <c r="AK32" i="4"/>
  <c r="AJ32" i="4"/>
  <c r="AI32" i="4"/>
  <c r="AH32" i="4"/>
  <c r="AG32" i="4"/>
  <c r="AF32" i="4"/>
  <c r="AE32" i="4"/>
  <c r="AD32" i="4"/>
  <c r="AC32" i="4"/>
  <c r="AB32" i="4"/>
  <c r="AA32" i="4"/>
  <c r="Z32" i="4"/>
  <c r="Y32" i="4"/>
  <c r="X32" i="4"/>
  <c r="W32" i="4"/>
  <c r="V32" i="4"/>
  <c r="U32" i="4"/>
  <c r="T32" i="4"/>
  <c r="S32" i="4"/>
  <c r="R32" i="4"/>
  <c r="Q32" i="4"/>
  <c r="P32" i="4"/>
  <c r="O32" i="4"/>
  <c r="N32" i="4"/>
  <c r="M32" i="4"/>
  <c r="L32" i="4"/>
  <c r="K32" i="4"/>
  <c r="J32" i="4"/>
  <c r="I32" i="4"/>
  <c r="H32" i="4"/>
  <c r="G32" i="4"/>
  <c r="F32" i="4"/>
  <c r="E32" i="4"/>
  <c r="D32" i="4"/>
  <c r="C32" i="4"/>
  <c r="BK31" i="4"/>
  <c r="BJ31" i="4"/>
  <c r="BI31" i="4"/>
  <c r="BH31" i="4"/>
  <c r="BG31" i="4"/>
  <c r="BF31" i="4"/>
  <c r="BE31" i="4"/>
  <c r="BD31" i="4"/>
  <c r="BC31" i="4"/>
  <c r="BB31" i="4"/>
  <c r="BA31" i="4"/>
  <c r="AZ31" i="4"/>
  <c r="AY31" i="4"/>
  <c r="AX31" i="4"/>
  <c r="AW31" i="4"/>
  <c r="AV31" i="4"/>
  <c r="AU31" i="4"/>
  <c r="AT31" i="4"/>
  <c r="AS31" i="4"/>
  <c r="AR31" i="4"/>
  <c r="AQ31" i="4"/>
  <c r="AP31" i="4"/>
  <c r="AO31" i="4"/>
  <c r="AN31" i="4"/>
  <c r="AM31" i="4"/>
  <c r="AL31" i="4"/>
  <c r="AK31" i="4"/>
  <c r="AJ31" i="4"/>
  <c r="AI31" i="4"/>
  <c r="AH31" i="4"/>
  <c r="AG31" i="4"/>
  <c r="AF31" i="4"/>
  <c r="AE31" i="4"/>
  <c r="AD31" i="4"/>
  <c r="AC31" i="4"/>
  <c r="AB31" i="4"/>
  <c r="AA31" i="4"/>
  <c r="Z31" i="4"/>
  <c r="Y31" i="4"/>
  <c r="X31" i="4"/>
  <c r="W31" i="4"/>
  <c r="V31" i="4"/>
  <c r="U31" i="4"/>
  <c r="T31" i="4"/>
  <c r="S31" i="4"/>
  <c r="R31" i="4"/>
  <c r="Q31" i="4"/>
  <c r="P31" i="4"/>
  <c r="O31" i="4"/>
  <c r="N31" i="4"/>
  <c r="M31" i="4"/>
  <c r="L31" i="4"/>
  <c r="K31" i="4"/>
  <c r="J31" i="4"/>
  <c r="I31" i="4"/>
  <c r="H31" i="4"/>
  <c r="G31" i="4"/>
  <c r="F31" i="4"/>
  <c r="E31" i="4"/>
  <c r="D31" i="4"/>
  <c r="C31" i="4"/>
  <c r="BK30" i="4"/>
  <c r="BJ30" i="4"/>
  <c r="BI30" i="4"/>
  <c r="BH30" i="4"/>
  <c r="BG30" i="4"/>
  <c r="BF30" i="4"/>
  <c r="BE30" i="4"/>
  <c r="BD30" i="4"/>
  <c r="BC30" i="4"/>
  <c r="BB30" i="4"/>
  <c r="BA30" i="4"/>
  <c r="AZ30" i="4"/>
  <c r="AY30" i="4"/>
  <c r="AX30" i="4"/>
  <c r="AW30" i="4"/>
  <c r="AV30" i="4"/>
  <c r="AU30" i="4"/>
  <c r="AT30" i="4"/>
  <c r="AS30" i="4"/>
  <c r="AR30" i="4"/>
  <c r="AQ30" i="4"/>
  <c r="AP30" i="4"/>
  <c r="AO30" i="4"/>
  <c r="AN30" i="4"/>
  <c r="AM30" i="4"/>
  <c r="AL30" i="4"/>
  <c r="AK30" i="4"/>
  <c r="AJ30" i="4"/>
  <c r="AI30" i="4"/>
  <c r="AH30" i="4"/>
  <c r="AG30" i="4"/>
  <c r="AF30" i="4"/>
  <c r="AE30" i="4"/>
  <c r="AD30" i="4"/>
  <c r="AC30" i="4"/>
  <c r="AB30" i="4"/>
  <c r="AA30" i="4"/>
  <c r="Z30" i="4"/>
  <c r="Y30" i="4"/>
  <c r="X30" i="4"/>
  <c r="W30" i="4"/>
  <c r="V30" i="4"/>
  <c r="U30" i="4"/>
  <c r="T30" i="4"/>
  <c r="S30" i="4"/>
  <c r="R30" i="4"/>
  <c r="Q30" i="4"/>
  <c r="P30" i="4"/>
  <c r="O30" i="4"/>
  <c r="N30" i="4"/>
  <c r="M30" i="4"/>
  <c r="L30" i="4"/>
  <c r="K30" i="4"/>
  <c r="J30" i="4"/>
  <c r="I30" i="4"/>
  <c r="H30" i="4"/>
  <c r="G30" i="4"/>
  <c r="F30" i="4"/>
  <c r="E30" i="4"/>
  <c r="D30" i="4"/>
  <c r="C30" i="4"/>
  <c r="BK29" i="4"/>
  <c r="BJ29" i="4"/>
  <c r="BI29" i="4"/>
  <c r="BH29" i="4"/>
  <c r="BG29" i="4"/>
  <c r="BF29" i="4"/>
  <c r="BE29" i="4"/>
  <c r="BD29" i="4"/>
  <c r="BC29" i="4"/>
  <c r="BB29" i="4"/>
  <c r="BA29" i="4"/>
  <c r="AZ29" i="4"/>
  <c r="AY29" i="4"/>
  <c r="AX29" i="4"/>
  <c r="AW29" i="4"/>
  <c r="AV29" i="4"/>
  <c r="AU29" i="4"/>
  <c r="AT29" i="4"/>
  <c r="AS29" i="4"/>
  <c r="AR29" i="4"/>
  <c r="AQ29" i="4"/>
  <c r="AP29" i="4"/>
  <c r="AO29" i="4"/>
  <c r="AN29" i="4"/>
  <c r="AM29" i="4"/>
  <c r="AL29" i="4"/>
  <c r="AK29" i="4"/>
  <c r="AJ29" i="4"/>
  <c r="AI29" i="4"/>
  <c r="AH29" i="4"/>
  <c r="AG29" i="4"/>
  <c r="AF29" i="4"/>
  <c r="AE29" i="4"/>
  <c r="AD29" i="4"/>
  <c r="AC29" i="4"/>
  <c r="AB29" i="4"/>
  <c r="AA29" i="4"/>
  <c r="Z29" i="4"/>
  <c r="Y29" i="4"/>
  <c r="X29" i="4"/>
  <c r="W29" i="4"/>
  <c r="V29" i="4"/>
  <c r="U29" i="4"/>
  <c r="T29" i="4"/>
  <c r="S29" i="4"/>
  <c r="R29" i="4"/>
  <c r="Q29" i="4"/>
  <c r="P29" i="4"/>
  <c r="O29" i="4"/>
  <c r="N29" i="4"/>
  <c r="M29" i="4"/>
  <c r="L29" i="4"/>
  <c r="K29" i="4"/>
  <c r="J29" i="4"/>
  <c r="I29" i="4"/>
  <c r="H29" i="4"/>
  <c r="G29" i="4"/>
  <c r="F29" i="4"/>
  <c r="E29" i="4"/>
  <c r="D29" i="4"/>
  <c r="C29" i="4"/>
  <c r="BK28" i="4"/>
  <c r="BJ28" i="4"/>
  <c r="BI28" i="4"/>
  <c r="BH28" i="4"/>
  <c r="BG28" i="4"/>
  <c r="BF28" i="4"/>
  <c r="BE28" i="4"/>
  <c r="BD28" i="4"/>
  <c r="BC28" i="4"/>
  <c r="BB28" i="4"/>
  <c r="BA28" i="4"/>
  <c r="AZ28" i="4"/>
  <c r="AY28" i="4"/>
  <c r="AX28" i="4"/>
  <c r="AW28" i="4"/>
  <c r="AV28" i="4"/>
  <c r="AU28" i="4"/>
  <c r="AT28" i="4"/>
  <c r="AS28" i="4"/>
  <c r="AR28" i="4"/>
  <c r="AQ28" i="4"/>
  <c r="AP28" i="4"/>
  <c r="AO28" i="4"/>
  <c r="AN28" i="4"/>
  <c r="AM28" i="4"/>
  <c r="AL28" i="4"/>
  <c r="AK28" i="4"/>
  <c r="AJ28" i="4"/>
  <c r="AI28" i="4"/>
  <c r="AH28" i="4"/>
  <c r="AG28" i="4"/>
  <c r="AF28" i="4"/>
  <c r="AE28" i="4"/>
  <c r="AD28" i="4"/>
  <c r="AC28" i="4"/>
  <c r="AB28" i="4"/>
  <c r="AA28" i="4"/>
  <c r="Z28" i="4"/>
  <c r="Y28" i="4"/>
  <c r="X28" i="4"/>
  <c r="W28" i="4"/>
  <c r="V28" i="4"/>
  <c r="U28" i="4"/>
  <c r="T28" i="4"/>
  <c r="S28" i="4"/>
  <c r="R28" i="4"/>
  <c r="Q28" i="4"/>
  <c r="P28" i="4"/>
  <c r="O28" i="4"/>
  <c r="N28" i="4"/>
  <c r="M28" i="4"/>
  <c r="L28" i="4"/>
  <c r="K28" i="4"/>
  <c r="J28" i="4"/>
  <c r="I28" i="4"/>
  <c r="H28" i="4"/>
  <c r="G28" i="4"/>
  <c r="F28" i="4"/>
  <c r="E28" i="4"/>
  <c r="D28" i="4"/>
  <c r="C28" i="4"/>
  <c r="BK27" i="4"/>
  <c r="BJ27" i="4"/>
  <c r="BI27" i="4"/>
  <c r="BH27" i="4"/>
  <c r="BG27" i="4"/>
  <c r="BF27" i="4"/>
  <c r="BE27" i="4"/>
  <c r="BD27" i="4"/>
  <c r="BC27" i="4"/>
  <c r="BB27" i="4"/>
  <c r="BA27" i="4"/>
  <c r="AZ27" i="4"/>
  <c r="AY27" i="4"/>
  <c r="AX27" i="4"/>
  <c r="AW27" i="4"/>
  <c r="AV27" i="4"/>
  <c r="AU27" i="4"/>
  <c r="AT27" i="4"/>
  <c r="AS27" i="4"/>
  <c r="AR27" i="4"/>
  <c r="AQ27" i="4"/>
  <c r="AP27" i="4"/>
  <c r="AO27" i="4"/>
  <c r="AN27" i="4"/>
  <c r="AM27" i="4"/>
  <c r="AL27" i="4"/>
  <c r="AK27" i="4"/>
  <c r="AJ27" i="4"/>
  <c r="AI27" i="4"/>
  <c r="AH27" i="4"/>
  <c r="AG27" i="4"/>
  <c r="AF27" i="4"/>
  <c r="AE27" i="4"/>
  <c r="AD27" i="4"/>
  <c r="AC27" i="4"/>
  <c r="AB27" i="4"/>
  <c r="AA27" i="4"/>
  <c r="Z27" i="4"/>
  <c r="Y27" i="4"/>
  <c r="X27" i="4"/>
  <c r="W27" i="4"/>
  <c r="V27" i="4"/>
  <c r="U27" i="4"/>
  <c r="T27" i="4"/>
  <c r="S27" i="4"/>
  <c r="R27" i="4"/>
  <c r="Q27" i="4"/>
  <c r="P27" i="4"/>
  <c r="O27" i="4"/>
  <c r="N27" i="4"/>
  <c r="M27" i="4"/>
  <c r="L27" i="4"/>
  <c r="K27" i="4"/>
  <c r="J27" i="4"/>
  <c r="I27" i="4"/>
  <c r="H27" i="4"/>
  <c r="G27" i="4"/>
  <c r="F27" i="4"/>
  <c r="E27" i="4"/>
  <c r="D27" i="4"/>
  <c r="C27" i="4"/>
  <c r="BK26" i="4"/>
  <c r="BJ26" i="4"/>
  <c r="BI26" i="4"/>
  <c r="BH26" i="4"/>
  <c r="BG26" i="4"/>
  <c r="BF26" i="4"/>
  <c r="BE26" i="4"/>
  <c r="BD26" i="4"/>
  <c r="BC26" i="4"/>
  <c r="BB26" i="4"/>
  <c r="BA26" i="4"/>
  <c r="AZ26" i="4"/>
  <c r="AY26" i="4"/>
  <c r="AX26" i="4"/>
  <c r="AW26" i="4"/>
  <c r="AV26" i="4"/>
  <c r="AU26" i="4"/>
  <c r="AT26" i="4"/>
  <c r="AS26" i="4"/>
  <c r="AR26" i="4"/>
  <c r="AQ26" i="4"/>
  <c r="AP26" i="4"/>
  <c r="AO26" i="4"/>
  <c r="AN26" i="4"/>
  <c r="AM26" i="4"/>
  <c r="AL26" i="4"/>
  <c r="AK26" i="4"/>
  <c r="AJ26" i="4"/>
  <c r="AI26" i="4"/>
  <c r="AH26" i="4"/>
  <c r="AG26" i="4"/>
  <c r="AF26" i="4"/>
  <c r="AE26" i="4"/>
  <c r="AD26" i="4"/>
  <c r="AC26" i="4"/>
  <c r="AB26" i="4"/>
  <c r="AA26" i="4"/>
  <c r="Z26" i="4"/>
  <c r="Y26" i="4"/>
  <c r="X26" i="4"/>
  <c r="W26" i="4"/>
  <c r="V26" i="4"/>
  <c r="U26" i="4"/>
  <c r="T26" i="4"/>
  <c r="S26" i="4"/>
  <c r="R26" i="4"/>
  <c r="Q26" i="4"/>
  <c r="P26" i="4"/>
  <c r="O26" i="4"/>
  <c r="N26" i="4"/>
  <c r="M26" i="4"/>
  <c r="L26" i="4"/>
  <c r="K26" i="4"/>
  <c r="J26" i="4"/>
  <c r="I26" i="4"/>
  <c r="H26" i="4"/>
  <c r="G26" i="4"/>
  <c r="F26" i="4"/>
  <c r="E26" i="4"/>
  <c r="D26" i="4"/>
  <c r="C26" i="4"/>
  <c r="BK25" i="4"/>
  <c r="BJ25" i="4"/>
  <c r="BI25" i="4"/>
  <c r="BH25" i="4"/>
  <c r="BG25" i="4"/>
  <c r="BF25" i="4"/>
  <c r="BE25" i="4"/>
  <c r="BD25" i="4"/>
  <c r="BC25" i="4"/>
  <c r="BB25" i="4"/>
  <c r="BA25" i="4"/>
  <c r="AZ25" i="4"/>
  <c r="AY25" i="4"/>
  <c r="AX25" i="4"/>
  <c r="AW25" i="4"/>
  <c r="AV25" i="4"/>
  <c r="AU25" i="4"/>
  <c r="AT25" i="4"/>
  <c r="AS25" i="4"/>
  <c r="AR25" i="4"/>
  <c r="AQ25" i="4"/>
  <c r="AP25" i="4"/>
  <c r="AO25" i="4"/>
  <c r="AN25" i="4"/>
  <c r="AM25" i="4"/>
  <c r="AL25" i="4"/>
  <c r="AK25" i="4"/>
  <c r="AJ25" i="4"/>
  <c r="AI25" i="4"/>
  <c r="AH25" i="4"/>
  <c r="AG25" i="4"/>
  <c r="AF25" i="4"/>
  <c r="AE25" i="4"/>
  <c r="AD25" i="4"/>
  <c r="AC25" i="4"/>
  <c r="AB25" i="4"/>
  <c r="AA25" i="4"/>
  <c r="Z25" i="4"/>
  <c r="Y25" i="4"/>
  <c r="X25" i="4"/>
  <c r="W25" i="4"/>
  <c r="V25" i="4"/>
  <c r="U25" i="4"/>
  <c r="T25" i="4"/>
  <c r="S25" i="4"/>
  <c r="R25" i="4"/>
  <c r="Q25" i="4"/>
  <c r="P25" i="4"/>
  <c r="O25" i="4"/>
  <c r="N25" i="4"/>
  <c r="M25" i="4"/>
  <c r="L25" i="4"/>
  <c r="K25" i="4"/>
  <c r="J25" i="4"/>
  <c r="I25" i="4"/>
  <c r="H25" i="4"/>
  <c r="G25" i="4"/>
  <c r="F25" i="4"/>
  <c r="E25" i="4"/>
  <c r="D25" i="4"/>
  <c r="C25" i="4"/>
  <c r="BK24" i="4"/>
  <c r="BJ24" i="4"/>
  <c r="BI24" i="4"/>
  <c r="BH24" i="4"/>
  <c r="BG24" i="4"/>
  <c r="BF24" i="4"/>
  <c r="BE24" i="4"/>
  <c r="BD24" i="4"/>
  <c r="BC24" i="4"/>
  <c r="BB24" i="4"/>
  <c r="BA24" i="4"/>
  <c r="AZ24" i="4"/>
  <c r="AY24" i="4"/>
  <c r="AX24" i="4"/>
  <c r="AW24" i="4"/>
  <c r="AV24" i="4"/>
  <c r="AU24" i="4"/>
  <c r="AT24" i="4"/>
  <c r="AS24" i="4"/>
  <c r="AR24" i="4"/>
  <c r="AQ24" i="4"/>
  <c r="AP24" i="4"/>
  <c r="AO24" i="4"/>
  <c r="AN24" i="4"/>
  <c r="AM24" i="4"/>
  <c r="AL24" i="4"/>
  <c r="AK24" i="4"/>
  <c r="AJ24" i="4"/>
  <c r="AI24" i="4"/>
  <c r="AH24" i="4"/>
  <c r="AG24" i="4"/>
  <c r="AF24" i="4"/>
  <c r="AE24" i="4"/>
  <c r="AD24" i="4"/>
  <c r="AC24" i="4"/>
  <c r="AB24" i="4"/>
  <c r="AA24" i="4"/>
  <c r="Z24" i="4"/>
  <c r="Y24" i="4"/>
  <c r="X24" i="4"/>
  <c r="W24" i="4"/>
  <c r="V24" i="4"/>
  <c r="U24" i="4"/>
  <c r="T24" i="4"/>
  <c r="S24" i="4"/>
  <c r="R24" i="4"/>
  <c r="Q24" i="4"/>
  <c r="P24" i="4"/>
  <c r="O24" i="4"/>
  <c r="N24" i="4"/>
  <c r="M24" i="4"/>
  <c r="L24" i="4"/>
  <c r="K24" i="4"/>
  <c r="J24" i="4"/>
  <c r="I24" i="4"/>
  <c r="H24" i="4"/>
  <c r="G24" i="4"/>
  <c r="F24" i="4"/>
  <c r="E24" i="4"/>
  <c r="D24" i="4"/>
  <c r="C24" i="4"/>
  <c r="BK23" i="4"/>
  <c r="BJ23" i="4"/>
  <c r="BI23" i="4"/>
  <c r="BH23" i="4"/>
  <c r="BG23" i="4"/>
  <c r="BF23" i="4"/>
  <c r="BE23" i="4"/>
  <c r="BD23" i="4"/>
  <c r="BC23" i="4"/>
  <c r="BB23" i="4"/>
  <c r="BA23" i="4"/>
  <c r="AZ23" i="4"/>
  <c r="AY23" i="4"/>
  <c r="AX23" i="4"/>
  <c r="AW23" i="4"/>
  <c r="AV23" i="4"/>
  <c r="AU23" i="4"/>
  <c r="AT23" i="4"/>
  <c r="AS23" i="4"/>
  <c r="AR23" i="4"/>
  <c r="AQ23" i="4"/>
  <c r="AP23" i="4"/>
  <c r="AO23" i="4"/>
  <c r="AN23" i="4"/>
  <c r="AM23" i="4"/>
  <c r="AL23" i="4"/>
  <c r="AK23" i="4"/>
  <c r="AJ23" i="4"/>
  <c r="AI23" i="4"/>
  <c r="AH23" i="4"/>
  <c r="AG23" i="4"/>
  <c r="AF23" i="4"/>
  <c r="AE23" i="4"/>
  <c r="AD23" i="4"/>
  <c r="AC23" i="4"/>
  <c r="AB23" i="4"/>
  <c r="AA23" i="4"/>
  <c r="Z23" i="4"/>
  <c r="Y23" i="4"/>
  <c r="X23" i="4"/>
  <c r="W23" i="4"/>
  <c r="V23" i="4"/>
  <c r="U23" i="4"/>
  <c r="T23" i="4"/>
  <c r="S23" i="4"/>
  <c r="R23" i="4"/>
  <c r="Q23" i="4"/>
  <c r="P23" i="4"/>
  <c r="O23" i="4"/>
  <c r="N23" i="4"/>
  <c r="M23" i="4"/>
  <c r="L23" i="4"/>
  <c r="K23" i="4"/>
  <c r="J23" i="4"/>
  <c r="I23" i="4"/>
  <c r="H23" i="4"/>
  <c r="G23" i="4"/>
  <c r="F23" i="4"/>
  <c r="E23" i="4"/>
  <c r="D23" i="4"/>
  <c r="C23" i="4"/>
  <c r="BK22" i="4"/>
  <c r="BJ22" i="4"/>
  <c r="BI22" i="4"/>
  <c r="BH22" i="4"/>
  <c r="BG22" i="4"/>
  <c r="BF22" i="4"/>
  <c r="BE22" i="4"/>
  <c r="BD22" i="4"/>
  <c r="BC22" i="4"/>
  <c r="BB22" i="4"/>
  <c r="BA22" i="4"/>
  <c r="AZ22" i="4"/>
  <c r="AY22" i="4"/>
  <c r="AX22" i="4"/>
  <c r="AW22" i="4"/>
  <c r="AV22" i="4"/>
  <c r="AU22" i="4"/>
  <c r="AT22" i="4"/>
  <c r="AS22" i="4"/>
  <c r="AR22" i="4"/>
  <c r="AQ22" i="4"/>
  <c r="AP22" i="4"/>
  <c r="AO22" i="4"/>
  <c r="AN22" i="4"/>
  <c r="AM22" i="4"/>
  <c r="AL22" i="4"/>
  <c r="AK22" i="4"/>
  <c r="AJ22" i="4"/>
  <c r="AI22" i="4"/>
  <c r="AH22" i="4"/>
  <c r="AG22" i="4"/>
  <c r="AF22" i="4"/>
  <c r="AE22" i="4"/>
  <c r="AD22" i="4"/>
  <c r="AC22" i="4"/>
  <c r="AB22" i="4"/>
  <c r="AA22" i="4"/>
  <c r="Z22" i="4"/>
  <c r="Y22" i="4"/>
  <c r="X22" i="4"/>
  <c r="W22" i="4"/>
  <c r="V22" i="4"/>
  <c r="U22" i="4"/>
  <c r="T22" i="4"/>
  <c r="S22" i="4"/>
  <c r="R22" i="4"/>
  <c r="Q22" i="4"/>
  <c r="P22" i="4"/>
  <c r="O22" i="4"/>
  <c r="N22" i="4"/>
  <c r="M22" i="4"/>
  <c r="L22" i="4"/>
  <c r="K22" i="4"/>
  <c r="J22" i="4"/>
  <c r="I22" i="4"/>
  <c r="H22" i="4"/>
  <c r="G22" i="4"/>
  <c r="F22" i="4"/>
  <c r="E22" i="4"/>
  <c r="D22" i="4"/>
  <c r="C22" i="4"/>
  <c r="BK21" i="4"/>
  <c r="BJ21" i="4"/>
  <c r="BI21" i="4"/>
  <c r="BH21" i="4"/>
  <c r="BG21" i="4"/>
  <c r="BF21" i="4"/>
  <c r="BE21" i="4"/>
  <c r="BD21" i="4"/>
  <c r="BC21" i="4"/>
  <c r="BB21" i="4"/>
  <c r="BA21" i="4"/>
  <c r="AZ21" i="4"/>
  <c r="AY21" i="4"/>
  <c r="AX21" i="4"/>
  <c r="AW21" i="4"/>
  <c r="AV21" i="4"/>
  <c r="AU21" i="4"/>
  <c r="AT21" i="4"/>
  <c r="AS21" i="4"/>
  <c r="AR21" i="4"/>
  <c r="AQ21" i="4"/>
  <c r="AP21" i="4"/>
  <c r="AO21" i="4"/>
  <c r="AN21" i="4"/>
  <c r="AM21" i="4"/>
  <c r="AL21" i="4"/>
  <c r="AK21" i="4"/>
  <c r="AJ21" i="4"/>
  <c r="AI21" i="4"/>
  <c r="AH21" i="4"/>
  <c r="AG21" i="4"/>
  <c r="AF21" i="4"/>
  <c r="AE21" i="4"/>
  <c r="AD21" i="4"/>
  <c r="AC21" i="4"/>
  <c r="AB21" i="4"/>
  <c r="AA21" i="4"/>
  <c r="Z21" i="4"/>
  <c r="Y21" i="4"/>
  <c r="X21" i="4"/>
  <c r="W21" i="4"/>
  <c r="V21" i="4"/>
  <c r="U21" i="4"/>
  <c r="T21" i="4"/>
  <c r="S21" i="4"/>
  <c r="R21" i="4"/>
  <c r="Q21" i="4"/>
  <c r="P21" i="4"/>
  <c r="O21" i="4"/>
  <c r="N21" i="4"/>
  <c r="M21" i="4"/>
  <c r="L21" i="4"/>
  <c r="K21" i="4"/>
  <c r="J21" i="4"/>
  <c r="I21" i="4"/>
  <c r="H21" i="4"/>
  <c r="G21" i="4"/>
  <c r="F21" i="4"/>
  <c r="E21" i="4"/>
  <c r="D21" i="4"/>
  <c r="C21" i="4"/>
  <c r="BK20" i="4"/>
  <c r="BJ20" i="4"/>
  <c r="BI20" i="4"/>
  <c r="BH20" i="4"/>
  <c r="BG20" i="4"/>
  <c r="BF20" i="4"/>
  <c r="BE20" i="4"/>
  <c r="BD20" i="4"/>
  <c r="BC20" i="4"/>
  <c r="BB20" i="4"/>
  <c r="BA20" i="4"/>
  <c r="AZ20" i="4"/>
  <c r="AY20" i="4"/>
  <c r="AX20" i="4"/>
  <c r="AW20" i="4"/>
  <c r="AV20" i="4"/>
  <c r="AU20" i="4"/>
  <c r="AT20" i="4"/>
  <c r="AS20" i="4"/>
  <c r="AR20" i="4"/>
  <c r="AQ20" i="4"/>
  <c r="AP20" i="4"/>
  <c r="AO20" i="4"/>
  <c r="AN20" i="4"/>
  <c r="AM20" i="4"/>
  <c r="AL20" i="4"/>
  <c r="AK20" i="4"/>
  <c r="AJ20" i="4"/>
  <c r="AI20" i="4"/>
  <c r="AH20" i="4"/>
  <c r="AG20" i="4"/>
  <c r="AF20" i="4"/>
  <c r="AE20" i="4"/>
  <c r="AD20" i="4"/>
  <c r="AC20" i="4"/>
  <c r="AB20" i="4"/>
  <c r="AA20" i="4"/>
  <c r="Z20" i="4"/>
  <c r="Y20" i="4"/>
  <c r="X20" i="4"/>
  <c r="W20" i="4"/>
  <c r="V20" i="4"/>
  <c r="U20" i="4"/>
  <c r="T20" i="4"/>
  <c r="S20" i="4"/>
  <c r="R20" i="4"/>
  <c r="Q20" i="4"/>
  <c r="P20" i="4"/>
  <c r="O20" i="4"/>
  <c r="N20" i="4"/>
  <c r="M20" i="4"/>
  <c r="L20" i="4"/>
  <c r="K20" i="4"/>
  <c r="J20" i="4"/>
  <c r="I20" i="4"/>
  <c r="H20" i="4"/>
  <c r="G20" i="4"/>
  <c r="F20" i="4"/>
  <c r="E20" i="4"/>
  <c r="D20" i="4"/>
  <c r="C20" i="4"/>
  <c r="BK19" i="4"/>
  <c r="BJ19" i="4"/>
  <c r="BI19" i="4"/>
  <c r="BH19" i="4"/>
  <c r="BG19" i="4"/>
  <c r="BF19" i="4"/>
  <c r="BE19" i="4"/>
  <c r="BD19" i="4"/>
  <c r="BC19" i="4"/>
  <c r="BB19" i="4"/>
  <c r="BA19" i="4"/>
  <c r="AZ19" i="4"/>
  <c r="AY19" i="4"/>
  <c r="AX19" i="4"/>
  <c r="AW19" i="4"/>
  <c r="AV19" i="4"/>
  <c r="AU19" i="4"/>
  <c r="AT19" i="4"/>
  <c r="AS19" i="4"/>
  <c r="AR19" i="4"/>
  <c r="AQ19" i="4"/>
  <c r="AP19" i="4"/>
  <c r="AO19" i="4"/>
  <c r="AN19" i="4"/>
  <c r="AM19" i="4"/>
  <c r="AL19" i="4"/>
  <c r="AK19" i="4"/>
  <c r="AJ19" i="4"/>
  <c r="AI19" i="4"/>
  <c r="AH19" i="4"/>
  <c r="AG19" i="4"/>
  <c r="AF19" i="4"/>
  <c r="AE19" i="4"/>
  <c r="AD19" i="4"/>
  <c r="AC19" i="4"/>
  <c r="AB19" i="4"/>
  <c r="AA19" i="4"/>
  <c r="Z19" i="4"/>
  <c r="Y19" i="4"/>
  <c r="X19" i="4"/>
  <c r="W19" i="4"/>
  <c r="V19" i="4"/>
  <c r="U19" i="4"/>
  <c r="T19" i="4"/>
  <c r="S19" i="4"/>
  <c r="R19" i="4"/>
  <c r="Q19" i="4"/>
  <c r="P19" i="4"/>
  <c r="O19" i="4"/>
  <c r="N19" i="4"/>
  <c r="M19" i="4"/>
  <c r="L19" i="4"/>
  <c r="K19" i="4"/>
  <c r="J19" i="4"/>
  <c r="I19" i="4"/>
  <c r="H19" i="4"/>
  <c r="G19" i="4"/>
  <c r="F19" i="4"/>
  <c r="E19" i="4"/>
  <c r="D19" i="4"/>
  <c r="C19" i="4"/>
  <c r="BK18" i="4"/>
  <c r="BJ18" i="4"/>
  <c r="BI18" i="4"/>
  <c r="BH18" i="4"/>
  <c r="BG18" i="4"/>
  <c r="BF18" i="4"/>
  <c r="BE18" i="4"/>
  <c r="BD18" i="4"/>
  <c r="BC18" i="4"/>
  <c r="BB18" i="4"/>
  <c r="BA18" i="4"/>
  <c r="AZ18" i="4"/>
  <c r="AY18" i="4"/>
  <c r="AX18" i="4"/>
  <c r="AW18" i="4"/>
  <c r="AV18" i="4"/>
  <c r="AU18" i="4"/>
  <c r="AT18" i="4"/>
  <c r="AS18" i="4"/>
  <c r="AR18" i="4"/>
  <c r="AQ18" i="4"/>
  <c r="AP18" i="4"/>
  <c r="AO18" i="4"/>
  <c r="AN18" i="4"/>
  <c r="AM18" i="4"/>
  <c r="AL18" i="4"/>
  <c r="AK18" i="4"/>
  <c r="AJ18" i="4"/>
  <c r="AI18" i="4"/>
  <c r="AH18" i="4"/>
  <c r="AG18" i="4"/>
  <c r="AF18" i="4"/>
  <c r="AE18" i="4"/>
  <c r="AD18" i="4"/>
  <c r="AC18" i="4"/>
  <c r="AB18" i="4"/>
  <c r="AA18" i="4"/>
  <c r="Z18" i="4"/>
  <c r="Y18" i="4"/>
  <c r="X18" i="4"/>
  <c r="W18" i="4"/>
  <c r="V18" i="4"/>
  <c r="U18" i="4"/>
  <c r="T18" i="4"/>
  <c r="S18" i="4"/>
  <c r="R18" i="4"/>
  <c r="Q18" i="4"/>
  <c r="P18" i="4"/>
  <c r="O18" i="4"/>
  <c r="N18" i="4"/>
  <c r="M18" i="4"/>
  <c r="L18" i="4"/>
  <c r="K18" i="4"/>
  <c r="J18" i="4"/>
  <c r="I18" i="4"/>
  <c r="H18" i="4"/>
  <c r="G18" i="4"/>
  <c r="F18" i="4"/>
  <c r="E18" i="4"/>
  <c r="D18" i="4"/>
  <c r="C18" i="4"/>
  <c r="BK17" i="4"/>
  <c r="BJ17" i="4"/>
  <c r="BI17" i="4"/>
  <c r="BH17" i="4"/>
  <c r="BG17" i="4"/>
  <c r="BF17" i="4"/>
  <c r="BE17" i="4"/>
  <c r="BD17" i="4"/>
  <c r="BC17" i="4"/>
  <c r="BB17" i="4"/>
  <c r="BA17" i="4"/>
  <c r="AZ17" i="4"/>
  <c r="AY17" i="4"/>
  <c r="AX17" i="4"/>
  <c r="AW17" i="4"/>
  <c r="AV17" i="4"/>
  <c r="AU17" i="4"/>
  <c r="AT17" i="4"/>
  <c r="AS17" i="4"/>
  <c r="AR17" i="4"/>
  <c r="AQ17" i="4"/>
  <c r="AP17" i="4"/>
  <c r="AO17" i="4"/>
  <c r="AN17" i="4"/>
  <c r="AM17" i="4"/>
  <c r="AL17" i="4"/>
  <c r="AK17" i="4"/>
  <c r="AJ17" i="4"/>
  <c r="AI17" i="4"/>
  <c r="AH17" i="4"/>
  <c r="AG17" i="4"/>
  <c r="AF17" i="4"/>
  <c r="AE17" i="4"/>
  <c r="AD17" i="4"/>
  <c r="AC17" i="4"/>
  <c r="AB17" i="4"/>
  <c r="AA17" i="4"/>
  <c r="Z17" i="4"/>
  <c r="Y17" i="4"/>
  <c r="X17" i="4"/>
  <c r="W17" i="4"/>
  <c r="V17" i="4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BK16" i="4"/>
  <c r="BJ16" i="4"/>
  <c r="BI16" i="4"/>
  <c r="BH16" i="4"/>
  <c r="BG16" i="4"/>
  <c r="BF16" i="4"/>
  <c r="BE16" i="4"/>
  <c r="BD16" i="4"/>
  <c r="BC16" i="4"/>
  <c r="BB16" i="4"/>
  <c r="BA16" i="4"/>
  <c r="AZ16" i="4"/>
  <c r="AY16" i="4"/>
  <c r="AX16" i="4"/>
  <c r="AW16" i="4"/>
  <c r="AV16" i="4"/>
  <c r="AU16" i="4"/>
  <c r="AT16" i="4"/>
  <c r="AS16" i="4"/>
  <c r="AR16" i="4"/>
  <c r="AQ16" i="4"/>
  <c r="AP16" i="4"/>
  <c r="AO16" i="4"/>
  <c r="AN16" i="4"/>
  <c r="AM16" i="4"/>
  <c r="AL16" i="4"/>
  <c r="AK16" i="4"/>
  <c r="AJ16" i="4"/>
  <c r="AI16" i="4"/>
  <c r="AH16" i="4"/>
  <c r="AG16" i="4"/>
  <c r="AF16" i="4"/>
  <c r="AE16" i="4"/>
  <c r="AD16" i="4"/>
  <c r="AC16" i="4"/>
  <c r="AB16" i="4"/>
  <c r="AA16" i="4"/>
  <c r="Z16" i="4"/>
  <c r="Y16" i="4"/>
  <c r="X16" i="4"/>
  <c r="W16" i="4"/>
  <c r="V16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BK15" i="4"/>
  <c r="BJ15" i="4"/>
  <c r="BI15" i="4"/>
  <c r="BH15" i="4"/>
  <c r="BG15" i="4"/>
  <c r="BF15" i="4"/>
  <c r="BE15" i="4"/>
  <c r="BD15" i="4"/>
  <c r="BC15" i="4"/>
  <c r="BB15" i="4"/>
  <c r="BA15" i="4"/>
  <c r="AZ15" i="4"/>
  <c r="AY15" i="4"/>
  <c r="AX15" i="4"/>
  <c r="AW15" i="4"/>
  <c r="AV15" i="4"/>
  <c r="AU15" i="4"/>
  <c r="AT15" i="4"/>
  <c r="AS15" i="4"/>
  <c r="AR15" i="4"/>
  <c r="AQ15" i="4"/>
  <c r="AP15" i="4"/>
  <c r="AO15" i="4"/>
  <c r="AN15" i="4"/>
  <c r="AM15" i="4"/>
  <c r="AL15" i="4"/>
  <c r="AK15" i="4"/>
  <c r="AJ15" i="4"/>
  <c r="AI15" i="4"/>
  <c r="AH15" i="4"/>
  <c r="AG15" i="4"/>
  <c r="AF15" i="4"/>
  <c r="AE15" i="4"/>
  <c r="AD15" i="4"/>
  <c r="AC15" i="4"/>
  <c r="AB15" i="4"/>
  <c r="AA15" i="4"/>
  <c r="Z15" i="4"/>
  <c r="Y15" i="4"/>
  <c r="X15" i="4"/>
  <c r="W15" i="4"/>
  <c r="V15" i="4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BK14" i="4"/>
  <c r="BJ14" i="4"/>
  <c r="BI14" i="4"/>
  <c r="BH14" i="4"/>
  <c r="BG14" i="4"/>
  <c r="BF14" i="4"/>
  <c r="BE14" i="4"/>
  <c r="BD14" i="4"/>
  <c r="BC14" i="4"/>
  <c r="BB14" i="4"/>
  <c r="BA14" i="4"/>
  <c r="AZ14" i="4"/>
  <c r="AY14" i="4"/>
  <c r="AX14" i="4"/>
  <c r="AW14" i="4"/>
  <c r="AV14" i="4"/>
  <c r="AU14" i="4"/>
  <c r="AT14" i="4"/>
  <c r="AS14" i="4"/>
  <c r="AR14" i="4"/>
  <c r="AQ14" i="4"/>
  <c r="AP14" i="4"/>
  <c r="AO14" i="4"/>
  <c r="AN14" i="4"/>
  <c r="AM14" i="4"/>
  <c r="AL14" i="4"/>
  <c r="AK14" i="4"/>
  <c r="AJ14" i="4"/>
  <c r="AI14" i="4"/>
  <c r="AH14" i="4"/>
  <c r="AG14" i="4"/>
  <c r="AF14" i="4"/>
  <c r="AE14" i="4"/>
  <c r="AD14" i="4"/>
  <c r="AC14" i="4"/>
  <c r="AB14" i="4"/>
  <c r="AA14" i="4"/>
  <c r="Z14" i="4"/>
  <c r="Y14" i="4"/>
  <c r="X14" i="4"/>
  <c r="W14" i="4"/>
  <c r="V14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BK13" i="4"/>
  <c r="BJ13" i="4"/>
  <c r="BI13" i="4"/>
  <c r="BH13" i="4"/>
  <c r="BG13" i="4"/>
  <c r="BF13" i="4"/>
  <c r="BE13" i="4"/>
  <c r="BD13" i="4"/>
  <c r="BC13" i="4"/>
  <c r="BB13" i="4"/>
  <c r="BA13" i="4"/>
  <c r="AZ13" i="4"/>
  <c r="AY13" i="4"/>
  <c r="AX13" i="4"/>
  <c r="AW13" i="4"/>
  <c r="AV13" i="4"/>
  <c r="AU13" i="4"/>
  <c r="AT13" i="4"/>
  <c r="AS13" i="4"/>
  <c r="AR13" i="4"/>
  <c r="AQ13" i="4"/>
  <c r="AP13" i="4"/>
  <c r="AO13" i="4"/>
  <c r="AN13" i="4"/>
  <c r="AM13" i="4"/>
  <c r="AL13" i="4"/>
  <c r="AK13" i="4"/>
  <c r="AJ13" i="4"/>
  <c r="AI13" i="4"/>
  <c r="AH13" i="4"/>
  <c r="AG13" i="4"/>
  <c r="AF13" i="4"/>
  <c r="AE13" i="4"/>
  <c r="AD13" i="4"/>
  <c r="AC13" i="4"/>
  <c r="AB13" i="4"/>
  <c r="AA13" i="4"/>
  <c r="Z13" i="4"/>
  <c r="Y13" i="4"/>
  <c r="X13" i="4"/>
  <c r="W13" i="4"/>
  <c r="V13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BK12" i="4"/>
  <c r="BJ12" i="4"/>
  <c r="BI12" i="4"/>
  <c r="BH12" i="4"/>
  <c r="BG12" i="4"/>
  <c r="BF12" i="4"/>
  <c r="BE12" i="4"/>
  <c r="BD12" i="4"/>
  <c r="BC12" i="4"/>
  <c r="BB12" i="4"/>
  <c r="BA12" i="4"/>
  <c r="AZ12" i="4"/>
  <c r="AY12" i="4"/>
  <c r="AX12" i="4"/>
  <c r="AW12" i="4"/>
  <c r="AV12" i="4"/>
  <c r="AU12" i="4"/>
  <c r="AT12" i="4"/>
  <c r="AS12" i="4"/>
  <c r="AR12" i="4"/>
  <c r="AQ12" i="4"/>
  <c r="AP12" i="4"/>
  <c r="AO12" i="4"/>
  <c r="AN12" i="4"/>
  <c r="AM12" i="4"/>
  <c r="AL12" i="4"/>
  <c r="AK12" i="4"/>
  <c r="AJ12" i="4"/>
  <c r="AI12" i="4"/>
  <c r="AH12" i="4"/>
  <c r="AG12" i="4"/>
  <c r="AF12" i="4"/>
  <c r="AE12" i="4"/>
  <c r="AD12" i="4"/>
  <c r="AC12" i="4"/>
  <c r="AB12" i="4"/>
  <c r="AA12" i="4"/>
  <c r="Z12" i="4"/>
  <c r="Y12" i="4"/>
  <c r="X12" i="4"/>
  <c r="W12" i="4"/>
  <c r="V12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BK11" i="4"/>
  <c r="BJ11" i="4"/>
  <c r="BI11" i="4"/>
  <c r="BH11" i="4"/>
  <c r="BG11" i="4"/>
  <c r="BF11" i="4"/>
  <c r="BE11" i="4"/>
  <c r="BD11" i="4"/>
  <c r="BC11" i="4"/>
  <c r="BB11" i="4"/>
  <c r="BA11" i="4"/>
  <c r="AZ11" i="4"/>
  <c r="AY11" i="4"/>
  <c r="AX11" i="4"/>
  <c r="AW11" i="4"/>
  <c r="AV11" i="4"/>
  <c r="AU11" i="4"/>
  <c r="AT11" i="4"/>
  <c r="AS11" i="4"/>
  <c r="AR11" i="4"/>
  <c r="AQ11" i="4"/>
  <c r="AP11" i="4"/>
  <c r="AO11" i="4"/>
  <c r="AN11" i="4"/>
  <c r="AM11" i="4"/>
  <c r="AL11" i="4"/>
  <c r="AK11" i="4"/>
  <c r="AJ11" i="4"/>
  <c r="AI11" i="4"/>
  <c r="AH11" i="4"/>
  <c r="AG11" i="4"/>
  <c r="AF11" i="4"/>
  <c r="AE11" i="4"/>
  <c r="AD11" i="4"/>
  <c r="AC11" i="4"/>
  <c r="AB11" i="4"/>
  <c r="AA11" i="4"/>
  <c r="Z11" i="4"/>
  <c r="Y11" i="4"/>
  <c r="X11" i="4"/>
  <c r="W11" i="4"/>
  <c r="V11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BK10" i="4"/>
  <c r="BJ10" i="4"/>
  <c r="BI10" i="4"/>
  <c r="BH10" i="4"/>
  <c r="BG10" i="4"/>
  <c r="BF10" i="4"/>
  <c r="BE10" i="4"/>
  <c r="BD10" i="4"/>
  <c r="BC10" i="4"/>
  <c r="BB10" i="4"/>
  <c r="BA10" i="4"/>
  <c r="AZ10" i="4"/>
  <c r="AY10" i="4"/>
  <c r="AX10" i="4"/>
  <c r="AW10" i="4"/>
  <c r="AV10" i="4"/>
  <c r="AU10" i="4"/>
  <c r="AT10" i="4"/>
  <c r="AS10" i="4"/>
  <c r="AR10" i="4"/>
  <c r="AQ10" i="4"/>
  <c r="AP10" i="4"/>
  <c r="AO10" i="4"/>
  <c r="AN10" i="4"/>
  <c r="AM10" i="4"/>
  <c r="AL10" i="4"/>
  <c r="AK10" i="4"/>
  <c r="AJ10" i="4"/>
  <c r="AI10" i="4"/>
  <c r="AH10" i="4"/>
  <c r="AG10" i="4"/>
  <c r="AF10" i="4"/>
  <c r="AE10" i="4"/>
  <c r="AD10" i="4"/>
  <c r="AC10" i="4"/>
  <c r="AB10" i="4"/>
  <c r="AA10" i="4"/>
  <c r="Z10" i="4"/>
  <c r="Y10" i="4"/>
  <c r="X10" i="4"/>
  <c r="W10" i="4"/>
  <c r="V10" i="4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BK9" i="4"/>
  <c r="BJ9" i="4"/>
  <c r="BI9" i="4"/>
  <c r="BH9" i="4"/>
  <c r="BG9" i="4"/>
  <c r="BF9" i="4"/>
  <c r="BE9" i="4"/>
  <c r="BD9" i="4"/>
  <c r="BC9" i="4"/>
  <c r="BB9" i="4"/>
  <c r="BA9" i="4"/>
  <c r="AZ9" i="4"/>
  <c r="AY9" i="4"/>
  <c r="AX9" i="4"/>
  <c r="AW9" i="4"/>
  <c r="AV9" i="4"/>
  <c r="AU9" i="4"/>
  <c r="AT9" i="4"/>
  <c r="AS9" i="4"/>
  <c r="AR9" i="4"/>
  <c r="AQ9" i="4"/>
  <c r="AP9" i="4"/>
  <c r="AO9" i="4"/>
  <c r="AN9" i="4"/>
  <c r="AM9" i="4"/>
  <c r="AL9" i="4"/>
  <c r="AK9" i="4"/>
  <c r="AJ9" i="4"/>
  <c r="AI9" i="4"/>
  <c r="AH9" i="4"/>
  <c r="AG9" i="4"/>
  <c r="AF9" i="4"/>
  <c r="AE9" i="4"/>
  <c r="AD9" i="4"/>
  <c r="AC9" i="4"/>
  <c r="AB9" i="4"/>
  <c r="AA9" i="4"/>
  <c r="Z9" i="4"/>
  <c r="Y9" i="4"/>
  <c r="X9" i="4"/>
  <c r="W9" i="4"/>
  <c r="V9" i="4"/>
  <c r="U9" i="4"/>
  <c r="T9" i="4"/>
  <c r="S9" i="4"/>
  <c r="R9" i="4"/>
  <c r="Q9" i="4"/>
  <c r="P9" i="4"/>
  <c r="O9" i="4"/>
  <c r="N9" i="4"/>
  <c r="M9" i="4"/>
  <c r="L9" i="4"/>
  <c r="K9" i="4"/>
  <c r="J9" i="4"/>
  <c r="I9" i="4"/>
  <c r="H9" i="4"/>
  <c r="G9" i="4"/>
  <c r="F9" i="4"/>
  <c r="E9" i="4"/>
  <c r="D9" i="4"/>
  <c r="C9" i="4"/>
  <c r="BK8" i="4"/>
  <c r="BJ8" i="4"/>
  <c r="BI8" i="4"/>
  <c r="BH8" i="4"/>
  <c r="BG8" i="4"/>
  <c r="BF8" i="4"/>
  <c r="BE8" i="4"/>
  <c r="BD8" i="4"/>
  <c r="BC8" i="4"/>
  <c r="BB8" i="4"/>
  <c r="BA8" i="4"/>
  <c r="AZ8" i="4"/>
  <c r="AY8" i="4"/>
  <c r="AX8" i="4"/>
  <c r="AW8" i="4"/>
  <c r="AV8" i="4"/>
  <c r="AU8" i="4"/>
  <c r="AT8" i="4"/>
  <c r="AS8" i="4"/>
  <c r="AR8" i="4"/>
  <c r="AQ8" i="4"/>
  <c r="AP8" i="4"/>
  <c r="AO8" i="4"/>
  <c r="AN8" i="4"/>
  <c r="AM8" i="4"/>
  <c r="AL8" i="4"/>
  <c r="AK8" i="4"/>
  <c r="AJ8" i="4"/>
  <c r="AI8" i="4"/>
  <c r="AH8" i="4"/>
  <c r="AG8" i="4"/>
  <c r="AF8" i="4"/>
  <c r="AE8" i="4"/>
  <c r="AD8" i="4"/>
  <c r="AC8" i="4"/>
  <c r="AB8" i="4"/>
  <c r="AA8" i="4"/>
  <c r="Z8" i="4"/>
  <c r="Y8" i="4"/>
  <c r="X8" i="4"/>
  <c r="W8" i="4"/>
  <c r="V8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BK7" i="4"/>
  <c r="BJ7" i="4"/>
  <c r="BI7" i="4"/>
  <c r="BH7" i="4"/>
  <c r="BG7" i="4"/>
  <c r="BF7" i="4"/>
  <c r="BE7" i="4"/>
  <c r="BD7" i="4"/>
  <c r="BC7" i="4"/>
  <c r="BB7" i="4"/>
  <c r="BA7" i="4"/>
  <c r="AZ7" i="4"/>
  <c r="AY7" i="4"/>
  <c r="AX7" i="4"/>
  <c r="AW7" i="4"/>
  <c r="AV7" i="4"/>
  <c r="AU7" i="4"/>
  <c r="AT7" i="4"/>
  <c r="AS7" i="4"/>
  <c r="AR7" i="4"/>
  <c r="AQ7" i="4"/>
  <c r="AP7" i="4"/>
  <c r="AO7" i="4"/>
  <c r="AN7" i="4"/>
  <c r="AM7" i="4"/>
  <c r="AL7" i="4"/>
  <c r="AK7" i="4"/>
  <c r="AJ7" i="4"/>
  <c r="AI7" i="4"/>
  <c r="AH7" i="4"/>
  <c r="AG7" i="4"/>
  <c r="AF7" i="4"/>
  <c r="AE7" i="4"/>
  <c r="AD7" i="4"/>
  <c r="AC7" i="4"/>
  <c r="AB7" i="4"/>
  <c r="AA7" i="4"/>
  <c r="Z7" i="4"/>
  <c r="Y7" i="4"/>
  <c r="X7" i="4"/>
  <c r="W7" i="4"/>
  <c r="V7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BK6" i="4"/>
  <c r="BJ6" i="4"/>
  <c r="BI6" i="4"/>
  <c r="BH6" i="4"/>
  <c r="BG6" i="4"/>
  <c r="BF6" i="4"/>
  <c r="BE6" i="4"/>
  <c r="BD6" i="4"/>
  <c r="BC6" i="4"/>
  <c r="BB6" i="4"/>
  <c r="BA6" i="4"/>
  <c r="AZ6" i="4"/>
  <c r="AY6" i="4"/>
  <c r="AX6" i="4"/>
  <c r="AW6" i="4"/>
  <c r="AV6" i="4"/>
  <c r="AU6" i="4"/>
  <c r="AT6" i="4"/>
  <c r="AS6" i="4"/>
  <c r="AR6" i="4"/>
  <c r="AQ6" i="4"/>
  <c r="AP6" i="4"/>
  <c r="AO6" i="4"/>
  <c r="AN6" i="4"/>
  <c r="AM6" i="4"/>
  <c r="AL6" i="4"/>
  <c r="AK6" i="4"/>
  <c r="AJ6" i="4"/>
  <c r="AI6" i="4"/>
  <c r="AH6" i="4"/>
  <c r="AG6" i="4"/>
  <c r="AF6" i="4"/>
  <c r="AE6" i="4"/>
  <c r="AD6" i="4"/>
  <c r="AC6" i="4"/>
  <c r="AB6" i="4"/>
  <c r="AA6" i="4"/>
  <c r="Z6" i="4"/>
  <c r="Y6" i="4"/>
  <c r="X6" i="4"/>
  <c r="W6" i="4"/>
  <c r="V6" i="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BK5" i="4"/>
  <c r="BJ5" i="4"/>
  <c r="BI5" i="4"/>
  <c r="BH5" i="4"/>
  <c r="BG5" i="4"/>
  <c r="BF5" i="4"/>
  <c r="BE5" i="4"/>
  <c r="BD5" i="4"/>
  <c r="BC5" i="4"/>
  <c r="BB5" i="4"/>
  <c r="BA5" i="4"/>
  <c r="AZ5" i="4"/>
  <c r="AY5" i="4"/>
  <c r="AX5" i="4"/>
  <c r="AW5" i="4"/>
  <c r="AV5" i="4"/>
  <c r="AU5" i="4"/>
  <c r="AT5" i="4"/>
  <c r="AS5" i="4"/>
  <c r="AR5" i="4"/>
  <c r="AQ5" i="4"/>
  <c r="AP5" i="4"/>
  <c r="AO5" i="4"/>
  <c r="AN5" i="4"/>
  <c r="AM5" i="4"/>
  <c r="AL5" i="4"/>
  <c r="AK5" i="4"/>
  <c r="AJ5" i="4"/>
  <c r="AI5" i="4"/>
  <c r="AH5" i="4"/>
  <c r="AG5" i="4"/>
  <c r="AF5" i="4"/>
  <c r="AE5" i="4"/>
  <c r="AD5" i="4"/>
  <c r="AC5" i="4"/>
  <c r="AB5" i="4"/>
  <c r="AA5" i="4"/>
  <c r="Z5" i="4"/>
  <c r="Y5" i="4"/>
  <c r="X5" i="4"/>
  <c r="W5" i="4"/>
  <c r="V5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BK4" i="4"/>
  <c r="BJ4" i="4"/>
  <c r="BI4" i="4"/>
  <c r="BH4" i="4"/>
  <c r="BG4" i="4"/>
  <c r="BF4" i="4"/>
  <c r="BE4" i="4"/>
  <c r="BD4" i="4"/>
  <c r="BC4" i="4"/>
  <c r="BB4" i="4"/>
  <c r="BA4" i="4"/>
  <c r="AZ4" i="4"/>
  <c r="AY4" i="4"/>
  <c r="AX4" i="4"/>
  <c r="AW4" i="4"/>
  <c r="AV4" i="4"/>
  <c r="AU4" i="4"/>
  <c r="AT4" i="4"/>
  <c r="AS4" i="4"/>
  <c r="AR4" i="4"/>
  <c r="AQ4" i="4"/>
  <c r="AP4" i="4"/>
  <c r="AO4" i="4"/>
  <c r="AN4" i="4"/>
  <c r="AM4" i="4"/>
  <c r="AL4" i="4"/>
  <c r="AK4" i="4"/>
  <c r="AJ4" i="4"/>
  <c r="AI4" i="4"/>
  <c r="AH4" i="4"/>
  <c r="AG4" i="4"/>
  <c r="AF4" i="4"/>
  <c r="AE4" i="4"/>
  <c r="AD4" i="4"/>
  <c r="AC4" i="4"/>
  <c r="AB4" i="4"/>
  <c r="AA4" i="4"/>
  <c r="Z4" i="4"/>
  <c r="Y4" i="4"/>
  <c r="X4" i="4"/>
  <c r="W4" i="4"/>
  <c r="V4" i="4"/>
  <c r="U4" i="4"/>
  <c r="T4" i="4"/>
  <c r="S4" i="4"/>
  <c r="R4" i="4"/>
  <c r="Q4" i="4"/>
  <c r="P4" i="4"/>
  <c r="O4" i="4"/>
  <c r="N4" i="4"/>
  <c r="M4" i="4"/>
  <c r="L4" i="4"/>
  <c r="K4" i="4"/>
  <c r="J4" i="4"/>
  <c r="I4" i="4"/>
  <c r="H4" i="4"/>
  <c r="G4" i="4"/>
  <c r="F4" i="4"/>
  <c r="E4" i="4"/>
  <c r="D4" i="4"/>
  <c r="I25" i="3"/>
  <c r="H25" i="3"/>
  <c r="G25" i="3"/>
  <c r="F25" i="3"/>
  <c r="I24" i="3"/>
  <c r="H24" i="3"/>
  <c r="G24" i="3"/>
  <c r="F24" i="3"/>
  <c r="I23" i="3"/>
  <c r="H23" i="3"/>
  <c r="G23" i="3"/>
  <c r="F23" i="3"/>
  <c r="I22" i="3"/>
  <c r="H22" i="3"/>
  <c r="G22" i="3"/>
  <c r="F22" i="3"/>
  <c r="I21" i="3"/>
  <c r="H21" i="3"/>
  <c r="G21" i="3"/>
  <c r="F21" i="3"/>
  <c r="I20" i="3"/>
  <c r="H20" i="3"/>
  <c r="G20" i="3"/>
  <c r="F20" i="3"/>
  <c r="I19" i="3"/>
  <c r="H19" i="3"/>
  <c r="G19" i="3"/>
  <c r="F19" i="3"/>
  <c r="I18" i="3"/>
  <c r="H18" i="3"/>
  <c r="G18" i="3"/>
  <c r="F18" i="3"/>
  <c r="I17" i="3"/>
  <c r="H17" i="3"/>
  <c r="G17" i="3"/>
  <c r="F17" i="3"/>
  <c r="I16" i="3"/>
  <c r="H16" i="3"/>
  <c r="G16" i="3"/>
  <c r="F16" i="3"/>
  <c r="I15" i="3"/>
  <c r="H15" i="3"/>
  <c r="G15" i="3"/>
  <c r="F15" i="3"/>
  <c r="I14" i="3"/>
  <c r="H14" i="3"/>
  <c r="G14" i="3"/>
  <c r="F14" i="3"/>
  <c r="I13" i="3"/>
  <c r="H13" i="3"/>
  <c r="G13" i="3"/>
  <c r="F13" i="3"/>
  <c r="I12" i="3"/>
  <c r="H12" i="3"/>
  <c r="G12" i="3"/>
  <c r="F12" i="3"/>
  <c r="I11" i="3"/>
  <c r="H11" i="3"/>
  <c r="G11" i="3"/>
  <c r="F11" i="3"/>
  <c r="B6" i="3"/>
  <c r="BX41" i="1"/>
  <c r="BX40" i="1"/>
  <c r="BX39" i="1"/>
  <c r="BX38" i="1"/>
  <c r="BX37" i="1"/>
  <c r="BX36" i="1"/>
  <c r="BX35" i="1"/>
  <c r="BX34" i="1"/>
  <c r="BX31" i="1"/>
  <c r="BX30" i="1"/>
  <c r="BX29" i="1"/>
  <c r="BX28" i="1"/>
  <c r="BX27" i="1"/>
  <c r="BX26" i="1"/>
  <c r="BX25" i="1"/>
  <c r="BX24" i="1"/>
  <c r="BX23" i="1"/>
  <c r="BX22" i="1"/>
  <c r="BX21" i="1"/>
  <c r="BX20" i="1"/>
  <c r="BX19" i="1"/>
  <c r="BX18" i="1"/>
  <c r="BX17" i="1"/>
  <c r="BX16" i="1"/>
  <c r="BX15" i="1"/>
  <c r="BX14" i="1"/>
  <c r="BX13" i="1"/>
  <c r="BX11" i="1"/>
  <c r="BX10" i="1"/>
  <c r="BX9" i="1"/>
  <c r="BX8" i="1"/>
  <c r="BX6" i="1"/>
  <c r="BX5" i="1"/>
  <c r="BX4" i="1"/>
  <c r="BX3" i="1"/>
  <c r="BX2" i="1"/>
  <c r="C36" i="7" l="1"/>
  <c r="C42" i="7"/>
  <c r="C46" i="7"/>
</calcChain>
</file>

<file path=xl/sharedStrings.xml><?xml version="1.0" encoding="utf-8"?>
<sst xmlns="http://schemas.openxmlformats.org/spreadsheetml/2006/main" count="2161" uniqueCount="381">
  <si>
    <t>Contact</t>
  </si>
  <si>
    <t>Judicary//Counties--&gt;</t>
  </si>
  <si>
    <t>ALL</t>
  </si>
  <si>
    <t>Adams</t>
  </si>
  <si>
    <t>Ashland</t>
  </si>
  <si>
    <t>Barron</t>
  </si>
  <si>
    <t>Bayfield</t>
  </si>
  <si>
    <t>Brown</t>
  </si>
  <si>
    <t>Buffalo</t>
  </si>
  <si>
    <t>Burnett</t>
  </si>
  <si>
    <t>Calumet</t>
  </si>
  <si>
    <t>Chippewa</t>
  </si>
  <si>
    <t>Clark</t>
  </si>
  <si>
    <t>Crawford</t>
  </si>
  <si>
    <t>Columbia</t>
  </si>
  <si>
    <t>Dane</t>
  </si>
  <si>
    <t>Dodge</t>
  </si>
  <si>
    <t>Door</t>
  </si>
  <si>
    <t>Douglas</t>
  </si>
  <si>
    <t>Dunn</t>
  </si>
  <si>
    <t>Eau Claire</t>
  </si>
  <si>
    <t>Florence</t>
  </si>
  <si>
    <t>Fond du Lac</t>
  </si>
  <si>
    <t>Forest</t>
  </si>
  <si>
    <t>Grant</t>
  </si>
  <si>
    <t>Green</t>
  </si>
  <si>
    <t>Green Lake</t>
  </si>
  <si>
    <t>Iowa</t>
  </si>
  <si>
    <t>Iron</t>
  </si>
  <si>
    <t>Jackson</t>
  </si>
  <si>
    <t xml:space="preserve"> Jefferson</t>
  </si>
  <si>
    <t>Juneau</t>
  </si>
  <si>
    <t>Kenosha</t>
  </si>
  <si>
    <t>Kewaunee</t>
  </si>
  <si>
    <t>La Crosse</t>
  </si>
  <si>
    <t>Lafayette</t>
  </si>
  <si>
    <t>Langlade</t>
  </si>
  <si>
    <t>Lincoln</t>
  </si>
  <si>
    <t>Manitowoc</t>
  </si>
  <si>
    <t>Marathon</t>
  </si>
  <si>
    <t>Marinette</t>
  </si>
  <si>
    <t>Marquette</t>
  </si>
  <si>
    <t>Menominee</t>
  </si>
  <si>
    <t>Milwaukee</t>
  </si>
  <si>
    <t>Monroe</t>
  </si>
  <si>
    <t>Oconto</t>
  </si>
  <si>
    <t>Oneida</t>
  </si>
  <si>
    <t>Outagamie</t>
  </si>
  <si>
    <t>Ozaukee</t>
  </si>
  <si>
    <t>Pepin</t>
  </si>
  <si>
    <t>Pierce</t>
  </si>
  <si>
    <t>Polk</t>
  </si>
  <si>
    <t>Portage</t>
  </si>
  <si>
    <t>Price</t>
  </si>
  <si>
    <t>Racine</t>
  </si>
  <si>
    <t>Richland</t>
  </si>
  <si>
    <t>Rock</t>
  </si>
  <si>
    <t>Rusk</t>
  </si>
  <si>
    <t>Sauk</t>
  </si>
  <si>
    <t>Sawyer</t>
  </si>
  <si>
    <t>Shawano</t>
  </si>
  <si>
    <t>Sheboygan</t>
  </si>
  <si>
    <t>St. Croix</t>
  </si>
  <si>
    <t>Taylor</t>
  </si>
  <si>
    <t>Trempealeau</t>
  </si>
  <si>
    <t>Vernon</t>
  </si>
  <si>
    <t>Vilas</t>
  </si>
  <si>
    <t>Walworth</t>
  </si>
  <si>
    <t>Washburn</t>
  </si>
  <si>
    <t>Washington</t>
  </si>
  <si>
    <t>Waukesha</t>
  </si>
  <si>
    <t>Waupaca</t>
  </si>
  <si>
    <t>Waushara</t>
  </si>
  <si>
    <t>Winnebago</t>
  </si>
  <si>
    <t>Wood</t>
  </si>
  <si>
    <t>Counties Covered</t>
  </si>
  <si>
    <t>Presiding Elder James Miller</t>
  </si>
  <si>
    <t>African Methodist Episcopal Church, 4th District</t>
  </si>
  <si>
    <t>x</t>
  </si>
  <si>
    <t>Rev. Mindi Welton-Mitchell</t>
  </si>
  <si>
    <t>American Baptist Churches of Wisconsin</t>
  </si>
  <si>
    <t>Father Yeprem Kelegian</t>
  </si>
  <si>
    <t>Armenian Orthodox Church, Eastern Diocese</t>
  </si>
  <si>
    <t>Rev. Eli Rolon-Jeong</t>
  </si>
  <si>
    <t>Christian Church (Disciples of Christ) in Illinois and Wisconsin</t>
  </si>
  <si>
    <t>Elder Tiggs Washington</t>
  </si>
  <si>
    <t>Christian Methodist Episcopal Church, Third Episcopal District</t>
  </si>
  <si>
    <t>Mr. Brett Seamons</t>
  </si>
  <si>
    <t>Church of Jesus Christ of Latter-Day Saints</t>
  </si>
  <si>
    <t>Rev. Walt Wiltshek</t>
  </si>
  <si>
    <t>Church of the Brethren, Illinois and Wisconsin District</t>
  </si>
  <si>
    <t>Bishop Darrell Hines, Sr.</t>
  </si>
  <si>
    <t>COGIC, Wisconsin First Jurisdiction</t>
  </si>
  <si>
    <t>PR</t>
  </si>
  <si>
    <t>Bishop CH McClelland</t>
  </si>
  <si>
    <t>COGIC, Wisconsin Northwest Jurisdiction</t>
  </si>
  <si>
    <t>incomplete</t>
  </si>
  <si>
    <t>COGIC, Wisconsin Third Jurisdiction</t>
  </si>
  <si>
    <t>Mr. Matt Davisdon</t>
  </si>
  <si>
    <t>Community of Christ Headwaters Mission Center</t>
  </si>
  <si>
    <t>Fr. Gergis (msn)/ Fr. Awadalla (mke)</t>
  </si>
  <si>
    <t>Coptic Orthodox Church</t>
  </si>
  <si>
    <t>Rev. Mimi Maki</t>
  </si>
  <si>
    <t>Ecumenical Catholic Communion</t>
  </si>
  <si>
    <t>Bishop Anne Edison Albright</t>
  </si>
  <si>
    <t xml:space="preserve">ELCA East-Central Synod </t>
  </si>
  <si>
    <t>Bishop Paul Erickson</t>
  </si>
  <si>
    <t xml:space="preserve">ELCA Greater Milwaukee Synod </t>
  </si>
  <si>
    <t>Bishop Felix Malpica</t>
  </si>
  <si>
    <t xml:space="preserve">ELCA LaCrosse Area Synod </t>
  </si>
  <si>
    <t>Bishop Katherine Finegan</t>
  </si>
  <si>
    <t>ELCA Northern Great Lakes Synod</t>
  </si>
  <si>
    <t>Bishop Martin Halom</t>
  </si>
  <si>
    <t xml:space="preserve">ELCA Northwest Synod </t>
  </si>
  <si>
    <t>Bishop Joy Mortensen-Weibe</t>
  </si>
  <si>
    <t>ELCA South-Central Synod</t>
  </si>
  <si>
    <t>Father Cyprian Sas</t>
  </si>
  <si>
    <t>Greek Orthodox Church, Diocese of Chicago</t>
  </si>
  <si>
    <t>Sr. Leader Adam Clausen</t>
  </si>
  <si>
    <t>Life Center Madison</t>
  </si>
  <si>
    <t>Rev. Valerie Showalter at MMC</t>
  </si>
  <si>
    <t>Mennonite Church USA, Central District Conference</t>
  </si>
  <si>
    <t>Lay Led</t>
  </si>
  <si>
    <t>Metropolitan Community Churches</t>
  </si>
  <si>
    <t>Jason Andersen</t>
  </si>
  <si>
    <t xml:space="preserve">Moravian Church, Western District </t>
  </si>
  <si>
    <t>Fr. Elijah Mueller</t>
  </si>
  <si>
    <t>Orthodox Church in America, Diocese of the Midwest</t>
  </si>
  <si>
    <t>Rev. Jeff Japinga</t>
  </si>
  <si>
    <t xml:space="preserve">PC(USA), John Knox Presbytery </t>
  </si>
  <si>
    <t>Rev. Christian Boyd</t>
  </si>
  <si>
    <t>PC(USA), Milwaukee Presbytery</t>
  </si>
  <si>
    <t>Rev. Devon Borden Reynolds</t>
  </si>
  <si>
    <t>PC(USA), Northern Waters Presbytery</t>
  </si>
  <si>
    <t>Rev. Dave Colby</t>
  </si>
  <si>
    <t xml:space="preserve">PC(USA), Winnebago Presbytery </t>
  </si>
  <si>
    <t>Archbishop Grob</t>
  </si>
  <si>
    <t>Roman Catholic Archdiocese of Milwaukee</t>
  </si>
  <si>
    <t>Bishop Ricken</t>
  </si>
  <si>
    <t>Roman Catholic Diocese of Green Bay</t>
  </si>
  <si>
    <t>Bishop Battersby</t>
  </si>
  <si>
    <t>Roman Catholic Diocese of LaCrosse</t>
  </si>
  <si>
    <t>Bishop Matthew Gunter</t>
  </si>
  <si>
    <t>The Episcopal Diocese of Wisconsin</t>
  </si>
  <si>
    <t>Rev. Jane Anderson</t>
  </si>
  <si>
    <t>UCC-WI, Eastern Region</t>
  </si>
  <si>
    <t>vacant</t>
  </si>
  <si>
    <t>UCC-WI, Northern Region</t>
  </si>
  <si>
    <t>Rev. Rachel Bauman</t>
  </si>
  <si>
    <t>UCC-WI, Southern Region</t>
  </si>
  <si>
    <t>Rev. M. Park Hunter</t>
  </si>
  <si>
    <t>UMC - WI, North East District</t>
  </si>
  <si>
    <t>Rev. PyungAhn "Peace" Kim</t>
  </si>
  <si>
    <t>UMC - WI, North West District</t>
  </si>
  <si>
    <t>Rev. Amanda Stein</t>
  </si>
  <si>
    <t>UMC - WI, South East District</t>
  </si>
  <si>
    <t>Rev. In Sun Lee</t>
  </si>
  <si>
    <t>UMC - WI, South West District</t>
  </si>
  <si>
    <t>Churches</t>
  </si>
  <si>
    <t>Counties</t>
  </si>
  <si>
    <t>Churches that are located in:</t>
  </si>
  <si>
    <t>UCC, ELCA LaCrosse Area Synod</t>
  </si>
  <si>
    <t>EUCC, Evangelical Lutheran Church in America, Northwest Synod</t>
  </si>
  <si>
    <t>Barron </t>
  </si>
  <si>
    <t>UCC, Northern Waters Presbytery,ELCA Northwest Synod</t>
  </si>
  <si>
    <t>UCC.ELCA Northwest Synod</t>
  </si>
  <si>
    <t>RC Diocese of Green Bay, UCC, ELCA East-Central Synod, Winnebago Presbytery</t>
  </si>
  <si>
    <t>ELCA LaCrosse ,  ELCA Northwest Synod</t>
  </si>
  <si>
    <t>Burnette</t>
  </si>
  <si>
    <t>UCC,ELCA Northwest Synod</t>
  </si>
  <si>
    <t>UCC, ELCA East-Central Synod</t>
  </si>
  <si>
    <t>UCC, Northern Waters Presbytery, UCC, ELCA Northwest Synod</t>
  </si>
  <si>
    <t>UCC, ELCA Northwest Synod</t>
  </si>
  <si>
    <t>UCC, Reformed Church in America, Synod of Mid-America</t>
  </si>
  <si>
    <t>UCC, Just Dane,Benedictine Women of Madison,The Collaboration Project</t>
  </si>
  <si>
    <t>UCC, Northern Waters Presbytery,ELCA UCC, Northwest Synod</t>
  </si>
  <si>
    <t>UCC</t>
  </si>
  <si>
    <t>UCC, ABC-WI,ELCA East-Central Synod,Reformed Church in America, Synod of Mid-America</t>
  </si>
  <si>
    <t>Winnebago Presbytery</t>
  </si>
  <si>
    <t>Grand</t>
  </si>
  <si>
    <t>UCCABC-WI,ELCA East-Central Synod</t>
  </si>
  <si>
    <t>ELCA Northwest Synod</t>
  </si>
  <si>
    <t>Jefferson</t>
  </si>
  <si>
    <t>ABC-WI,ELCA Greater Milwaukee Synod</t>
  </si>
  <si>
    <t>La.Crosse</t>
  </si>
  <si>
    <t>RC Diocese of LaCrosse,UCC, ABC-WI,ELCA LaCrosse Area Synod</t>
  </si>
  <si>
    <t>Langlande</t>
  </si>
  <si>
    <t>UCC, ELCA East-Central Synod, UCC, Winnebago Presbytery</t>
  </si>
  <si>
    <t>Madison</t>
  </si>
  <si>
    <t>ABC-WI</t>
  </si>
  <si>
    <t>UCC, ELCA East-Central Synod, Winnebago Presbytery</t>
  </si>
  <si>
    <t>ELCA Northwest Synod, ELCA East-Central Synod, Winnebago Presbytery</t>
  </si>
  <si>
    <t>UCC, Winnebago Presbytery</t>
  </si>
  <si>
    <t>RC Archdiocese of Milwaukee,UCC, Milwaukee Presbytery Interfaith Peace Working Group,Interfaith Conference of Greater Milwaukee,Metropolitan Community Churches, Christian Church (Disciples of Christ) in Illinois and Wisconsin,Reformed Church in America, Synod of Mid-America ELCA Greater Milwaukee Synod, Coptic Church</t>
  </si>
  <si>
    <t>UCC,</t>
  </si>
  <si>
    <t>UCC, United Methodist Church, Wisconsin Conference,Metropolitan Community Churches,ELCA East-Central Synod, Winnebago Presbytery</t>
  </si>
  <si>
    <t>UCC,  ELCA Greater Milwaukee Synod</t>
  </si>
  <si>
    <t>Polk </t>
  </si>
  <si>
    <t>UCCELCA East-Central Synod, Winnebago Presbytery</t>
  </si>
  <si>
    <t>UCCABC-WI,ELCA Greater Milwaukee Synod</t>
  </si>
  <si>
    <t>Richmond</t>
  </si>
  <si>
    <t>UCC, Disciples of Christ</t>
  </si>
  <si>
    <t>UCC,  ELCA East-Central Synod, Winnebago Presbytery</t>
  </si>
  <si>
    <t>UCC, ABC-WI, ELCA Greater Milwaukee Synod</t>
  </si>
  <si>
    <t>St. Coix</t>
  </si>
  <si>
    <t>UCC, Northern Waters Presbytery,ELCA UCC,  Northwest Synod</t>
  </si>
  <si>
    <t>ELCA LaCrosse ,   ELCA Northwest Synod</t>
  </si>
  <si>
    <t>UCC, Northern Waters Presbytery</t>
  </si>
  <si>
    <t>UCC, ABC-WI, Evangelical Lutheran UCC, Church in America, Greater Milwaukee Synod</t>
  </si>
  <si>
    <t>UCC, ELCA East-Central Synod,Ecumenical Catholic Communion, Winnebago Presbytery</t>
  </si>
  <si>
    <t>UCC, ELCA Northwest Synod, ELCA East-Central Synod</t>
  </si>
  <si>
    <t>Wisconsin Judicatory Outreach Coordination Tool</t>
  </si>
  <si>
    <t>Leadership Guide's Guide: Identifying Overlapping Jurisdictions &amp; Key Contacts</t>
  </si>
  <si>
    <t>72</t>
  </si>
  <si>
    <t>346+</t>
  </si>
  <si>
    <t>Total Judicatories</t>
  </si>
  <si>
    <t>Counties with Overlap</t>
  </si>
  <si>
    <t>WI Counties Tracked</t>
  </si>
  <si>
    <t>Overlap Pairs</t>
  </si>
  <si>
    <t>Top 15 Counties by Judicatories Present</t>
  </si>
  <si>
    <t>Judicatory Summary — Auto-updates from DATA tab</t>
  </si>
  <si>
    <t>County</t>
  </si>
  <si>
    <t># Judicatories</t>
  </si>
  <si>
    <t>Coverage Level</t>
  </si>
  <si>
    <t>Judicatory</t>
  </si>
  <si>
    <t>ALL?</t>
  </si>
  <si>
    <t>Counties #</t>
  </si>
  <si>
    <t>★★★ Very High</t>
  </si>
  <si>
    <t>★★★ High</t>
  </si>
  <si>
    <t>ℹ️  ALL = Statewide jurisdiction but communities only in marked counties  |  PR = Partial data</t>
  </si>
  <si>
    <t>County × Judicatory Coverage Matrix  |  Auto-updates when new members are added in DATA tab</t>
  </si>
  <si>
    <t># Serving</t>
  </si>
  <si>
    <t>County Overlap Contacts  |  Auto-updates as new members are added in DATA tab</t>
  </si>
  <si>
    <t># Overlapping</t>
  </si>
  <si>
    <t>Contact 1 – Judicatory</t>
  </si>
  <si>
    <t>Contact 1 – Leader</t>
  </si>
  <si>
    <t>Contact 2 – Judicatory</t>
  </si>
  <si>
    <t>Contact 2 – Leader</t>
  </si>
  <si>
    <t>Contact 3 – Judicatory</t>
  </si>
  <si>
    <t>Contact 3 – Leader</t>
  </si>
  <si>
    <t>—</t>
  </si>
  <si>
    <t>Judicatory Profiles  |  Auto-updates from DATA tab — add new members in DATA sheet</t>
  </si>
  <si>
    <t>Judicatory Name</t>
  </si>
  <si>
    <t>Leader / Contact</t>
  </si>
  <si>
    <t># Counties</t>
  </si>
  <si>
    <t>Counties with Active Presence</t>
  </si>
  <si>
    <t>Columbia, Crawford, Dane, Dodge, Grant, Green, Iowa, Jefferson, Kenosha, Lafayette, Milwaukee, Ozaukee, Racine, Richland, Rock, Sauk, Sheboygan, Walworth, Washington</t>
  </si>
  <si>
    <t>Green, Milwaukee, Racine</t>
  </si>
  <si>
    <t>Milwaukee, Rock</t>
  </si>
  <si>
    <t>None recorded</t>
  </si>
  <si>
    <t>Dane, Green, Milwaukee</t>
  </si>
  <si>
    <t>Crawford, Dane, Grant, Milwaukee, Pepin, Rock</t>
  </si>
  <si>
    <t>Dane, Milwaukee</t>
  </si>
  <si>
    <t>Brown, Calumet, Door, Fond du Lac, Green Lake, Kewaunee, Langlade, Lincoln, Manitowoc, Marathon, Marquette, Menominee, Oconto, Portage, Shawano, Waupaca, Waushara, Winnebago, Wood</t>
  </si>
  <si>
    <t>Milwaukee, Ozaukee, Racine, Sheboygan, Waukesha</t>
  </si>
  <si>
    <t>Adams, Buffalo, Crawford, Kenosha, La Crosse, Trempealeau, Vernon</t>
  </si>
  <si>
    <t>Ashland, Barron, Bayfield, Buffalo, Burnett, Chippewa, Clark, Douglas, Dunn, Jackson, Marathon, Pepin, Price, Rusk, St. Croix, Taylor, Trempealeau, Washington, Wood</t>
  </si>
  <si>
    <t>Columbia, Dane, Dodge, Grant, Green, Iowa, Jefferson, Lafayette, Richland, Rock, Sauk, Walworth</t>
  </si>
  <si>
    <t>Columbia, Crawford, Dane, Dodge, Grant, Green, Iowa, Jefferson, Kenosha, Lafayette, Milwaukee, Ozaukee, Racine, Richland, Rock, Sauk, Walworth, Washington</t>
  </si>
  <si>
    <t>Green, Milwaukee, Outagamie, Washington</t>
  </si>
  <si>
    <t>Adams, Buffalo, Columbia, Crawford, Dane, Grant, Green, Iowa, Jackson, Juneau, La Crosse, Lafayette, Marquette, Monroe, Richland, Sauk, Trempealeau, Vernon</t>
  </si>
  <si>
    <t>Dodge, Jefferson, Kenosha, Milwaukee, Ozaukee, Racine, Rock, Sheboygan, Walworth, Washington, Waukesha</t>
  </si>
  <si>
    <t>Ashland, Barron, Bayfield, Burnett, Chippewa, Clark, Douglas, Dunn, Eau Claire, Iron, Pepin, Pierce, Polk, Price, Rusk, Sawyer, St. Croix, Taylor, Vilas, Washburn</t>
  </si>
  <si>
    <t>Brown, Calumet, Door, Florence, Fond du Lac, Forest, Green Lake, Kewaunee, Langlade, Lincoln, Manitowoc, Marathon, Marinette, Menominee, Oconto, Oneida, Outagamie, Portage, Shawano, Waupaca, Waushara, Winnebago, Wood</t>
  </si>
  <si>
    <t>Dodge, Fond du Lac, Kenosha, Milwaukee, Ozaukee, Racine, Sheboygan, Walworth, Washington, Waukesha</t>
  </si>
  <si>
    <t>Brown, Calumet, Door, Florence, Forest, Kewaunee, Langlade, Manitowoc, Marinette, Menominee, Oconto, Outagamie, Shawano, Waupaca, Waushara, Winnebago</t>
  </si>
  <si>
    <t>Adams, Buffalo, Chippewa, Clark, Crawford, Dunn, Eau Claire, Jackson, Juneau, La Crosse, Marathon, Monroe, Pepin, Pierce, Portage, Richland, Trempealeau, Vernon, Wood</t>
  </si>
  <si>
    <t>Brown, Calumet, Dodge, Door, Fond du Lac, Green Lake, Kewaunee, Manitowoc, Marinette, Menominee, Milwaukee, Oconto, Outagamie, Ozaukee, Shawano, Sheboygan, Washington, Waukesha, Waupaca, Waushara, Winnebago</t>
  </si>
  <si>
    <t>Ashland, Barron, Bayfield, Buffalo, Burnett, Chippewa, Clark, Douglas, Dunn, Eau Claire, Florence, Forest, Iron, Jackson, La Crosse, Langlade, Lincoln, Marathon, Monroe, Oneida, Pepin, Pierce, Polk, Portage, Price, Rusk, Sawyer, St. Croix, Taylor, Trempealeau, Vilas, Washburn, Waushara, Wood</t>
  </si>
  <si>
    <t>Adams, Columbia, Crawford, Dane, Dodge, Grant, Green, Iowa, Jefferson, Juneau, Kenosha, Lafayette, Marquette, Racine, Richland, Rock, Sauk, Vernon, Walworth, Washington, Waukesha</t>
  </si>
  <si>
    <t>Ashland, Barron, Bayfield, Buffalo, Burnett, Chippewa, Clark, Douglas, Dunn, Eau Claire, Iron, Jackson, La Crosse, Pepin, Pierce, Polk, Price, Rusk, Sawyer, St. Croix, Taylor, Trempealeau, Washburn</t>
  </si>
  <si>
    <t>Dodge, Fond du Lac, Green Lake, Jefferson, Kenosha, Milwaukee, Ozaukee, Racine, Walworth, Washington, Waukesha</t>
  </si>
  <si>
    <t>Adams, Columbia, Crawford, Dane, Grant, Green, Iowa, Juneau, Lafayette, Marquette, Monroe, Richland, Rock, Sauk, Vernon</t>
  </si>
  <si>
    <t>Visual Analytics  |  Charts auto-update from DATA tab</t>
  </si>
  <si>
    <t>Top 20 Counties by Judicatories Present</t>
  </si>
  <si>
    <t>Judicatories Ranked by Counties Covered</t>
  </si>
  <si>
    <t>➕  Add New Judicatory Member</t>
  </si>
  <si>
    <t>📝  HOW TO ADD A NEW MEMBER — TWO WAYS:
METHOD 1 (Recommended): Go to the DATA tab (black tab at bottom).
  • Scroll to the bottom — there are 20 purple blank rows ready for new entries.
  • Type the Judicatory name in col A, Contact in col B, ALL/PR in col C.
  • Mark 'x' in each county column where they have active communities.
  → ALL tabs (Dashboard, Overlap Map, Contacts, Profiles, Charts) will AUTO-UPDATE instantly.
METHOD 2 (Quick reference): Fill in the summary below — this sheet shows the live register.</t>
  </si>
  <si>
    <t>📋  Live Master Register — Pulls directly from DATA tab (auto-updates)</t>
  </si>
  <si>
    <t># Counties Active</t>
  </si>
  <si>
    <t>TEST</t>
  </si>
  <si>
    <t>Judicatory Overlap Pairs  |  Contact &amp; contact names pull live from DATA tab</t>
  </si>
  <si>
    <t>Judicatory 1</t>
  </si>
  <si>
    <t>Contact 1</t>
  </si>
  <si>
    <t>Judicatory 2</t>
  </si>
  <si>
    <t>Contact 2</t>
  </si>
  <si>
    <t># Shared</t>
  </si>
  <si>
    <t>Shared Counties</t>
  </si>
  <si>
    <t>Ashland, Barron, Bayfield, Burnett, Chippewa, Clark, Douglas, Dunn, Eau Claire, Iron, Pepin, Pierce, Polk, Price, Rusk, Sawyer, St. Croix, Taylor, Washburn</t>
  </si>
  <si>
    <t>Brown, Calumet, Door, Fond du Lac, Green Lake, Kewaunee, Langlade, Lincoln, Manitowoc, Marathon, Menominee, Oconto, Portage, Shawano, Waupaca, Waushara, Winnebago, Wood</t>
  </si>
  <si>
    <t>Ashland, Barron, Bayfield, Buffalo, Burnett, Chippewa, Clark, Douglas, Dunn, Jackson, Marathon, Pepin, Price, Rusk, St. Croix, Taylor, Trempealeau, Wood</t>
  </si>
  <si>
    <t>Columbia, Crawford, Dane, Dodge, Grant, Green, Iowa, Jefferson, Kenosha, Lafayette, Racine, Richland, Rock, Sauk, Walworth, Washington</t>
  </si>
  <si>
    <t>Ashland, Barron, Bayfield, Buffalo, Burnett, Chippewa, Clark, Douglas, Dunn, Jackson, Pepin, Price, Rusk, St. Croix, Taylor, Trempealeau</t>
  </si>
  <si>
    <t>Brown, Calumet, Door, Fond du Lac, Green Lake, Kewaunee, Manitowoc, Marinette, Menominee, Oconto, Outagamie, Shawano, Waupaca, Waushara, Winnebago</t>
  </si>
  <si>
    <t>Adams, Columbia, Crawford, Dane, Grant, Green, Iowa, Juneau, Lafayette, Marquette, Monroe, Richland, Sauk, Vernon</t>
  </si>
  <si>
    <t>Buffalo, Chippewa, Clark, Dunn, Eau Claire, Jackson, La Crosse, Marathon, Monroe, Pepin, Pierce, Portage, Trempealeau, Wood</t>
  </si>
  <si>
    <t>Adams, Columbia, Crawford, Dane, Grant, Green, Iowa, Juneau, Lafayette, Marquette, Richland, Rock, Sauk, Vernon</t>
  </si>
  <si>
    <t>Brown, Calumet, Door, Fond du Lac, Green Lake, Kewaunee, Manitowoc, Menominee, Oconto, Shawano, Waupaca, Waushara, Winnebago</t>
  </si>
  <si>
    <t>Ashland, Barron, Bayfield, Burnett, Chippewa, Clark, Douglas, Dunn, Pepin, Price, Rusk, St. Croix, Taylor</t>
  </si>
  <si>
    <t>Adams, Columbia, Crawford, Dane, Grant, Green, Iowa, Juneau, Lafayette, Marquette, Richland, Sauk, Vernon</t>
  </si>
  <si>
    <t>Brown, Calumet, Door, Kewaunee, Manitowoc, Marinette, Menominee, Oconto, Outagamie, Shawano, Waupaca, Waushara, Winnebago</t>
  </si>
  <si>
    <t>Brown, Calumet, Door, Kewaunee, Langlade, Manitowoc, Menominee, Oconto, Shawano, Waupaca, Waushara, Winnebago</t>
  </si>
  <si>
    <t>Dodge, Jefferson, Kenosha, Milwaukee, Ozaukee, Racine, Rock, Sheboygan, Walworth, Washington</t>
  </si>
  <si>
    <t>Columbia, Crawford, Dane, Grant, Green, Iowa, Lafayette, Richland, Rock, Sauk</t>
  </si>
  <si>
    <t>Adams, Buffalo, Crawford, Jackson, Juneau, La Crosse, Monroe, Richland, Trempealeau, Vernon</t>
  </si>
  <si>
    <t>Buffalo, Chippewa, Clark, Dunn, Eau Claire, Jackson, La Crosse, Pepin, Pierce, Trempealeau</t>
  </si>
  <si>
    <t>Columbia, Crawford, Dane, Grant, Green, Iowa, Lafayette, Richland, Sauk</t>
  </si>
  <si>
    <t>Buffalo, Chippewa, Clark, Dunn, Jackson, Marathon, Pepin, Trempealeau, Wood</t>
  </si>
  <si>
    <t>Columbia, Dane, Grant, Green, Iowa, Lafayette, Richland, Rock, Sauk</t>
  </si>
  <si>
    <t>Dodge, Jefferson, Kenosha, Milwaukee, Ozaukee, Racine, Rock, Walworth, Washington</t>
  </si>
  <si>
    <t>Dodge, Kenosha, Milwaukee, Ozaukee, Racine, Sheboygan, Walworth, Washington, Waukesha</t>
  </si>
  <si>
    <t>Dodge, Jefferson, Kenosha, Milwaukee, Ozaukee, Racine, Walworth, Washington, Waukesha</t>
  </si>
  <si>
    <t>Florence, Forest, Langlade, Lincoln, Marathon, Oneida, Portage, Waushara, Wood</t>
  </si>
  <si>
    <t>Dodge, Fond du Lac, Kenosha, Milwaukee, Ozaukee, Racine, Walworth, Washington, Waukesha</t>
  </si>
  <si>
    <t>Dodge, Kenosha, Milwaukee, Ozaukee, Racine, Sheboygan, Walworth, Washington</t>
  </si>
  <si>
    <t>Dodge, Jefferson, Kenosha, Milwaukee, Ozaukee, Racine, Walworth, Washington</t>
  </si>
  <si>
    <t>Columbia, Dane, Grant, Green, Iowa, Lafayette, Richland, Sauk</t>
  </si>
  <si>
    <t>Dodge, Jefferson, Kenosha, Racine, Rock, Walworth, Washington, Waukesha</t>
  </si>
  <si>
    <t>Dodge, Kenosha, Milwaukee, Ozaukee, Racine, Walworth, Washington</t>
  </si>
  <si>
    <t>Dodge, Fond du Lac, Milwaukee, Ozaukee, Sheboygan, Washington, Waukesha</t>
  </si>
  <si>
    <t>Dodge, Fond du Lac, Green Lake, Milwaukee, Ozaukee, Washington, Waukesha</t>
  </si>
  <si>
    <t>Dodge, Jefferson, Kenosha, Racine, Walworth, Washington, Waukesha</t>
  </si>
  <si>
    <t>Langlade, Lincoln, Marathon, Portage, Waushara, Wood</t>
  </si>
  <si>
    <t>Adams, Buffalo, Crawford, La Crosse, Trempealeau, Vernon</t>
  </si>
  <si>
    <t>Dodge, Milwaukee, Ozaukee, Sheboygan, Washington, Waukesha</t>
  </si>
  <si>
    <t>Chippewa, Clark, Dunn, Eau Claire, Pepin, Pierce</t>
  </si>
  <si>
    <t>Dodge, Kenosha, Racine, Walworth, Washington, Waukesha</t>
  </si>
  <si>
    <t>Adams, Crawford, Juneau, Monroe, Richland, Vernon</t>
  </si>
  <si>
    <t>Crawford, Dane, Grant, Milwaukee, Rock</t>
  </si>
  <si>
    <t>Dodge, Milwaukee, Ozaukee, Sheboygan, Washington</t>
  </si>
  <si>
    <t>Buffalo, Jackson, La Crosse, Monroe, Trempealeau</t>
  </si>
  <si>
    <t>Adams, Crawford, Juneau, Richland, Vernon</t>
  </si>
  <si>
    <t>Milwaukee, Ozaukee, Racine, Sheboygan</t>
  </si>
  <si>
    <t>Crawford, Dane, Grant, Rock</t>
  </si>
  <si>
    <t>Milwaukee, Ozaukee, Sheboygan, Waukesha</t>
  </si>
  <si>
    <t>Milwaukee, Ozaukee, Racine, Waukesha</t>
  </si>
  <si>
    <t>Adams, Crawford, Kenosha, Vernon</t>
  </si>
  <si>
    <t>Dodge, Jefferson, Rock, Walworth</t>
  </si>
  <si>
    <t>Dodge, Milwaukee, Ozaukee, Washington</t>
  </si>
  <si>
    <t>Buffalo, Jackson, La Crosse, Trempealeau</t>
  </si>
  <si>
    <t>Florence, Forest, Langlade, Waushara</t>
  </si>
  <si>
    <t>Green, Milwaukee, Washington</t>
  </si>
  <si>
    <t>Dane, Grant, Rock</t>
  </si>
  <si>
    <t>Crawford, Dane, Grant</t>
  </si>
  <si>
    <t>Marathon, Portage, Wood</t>
  </si>
  <si>
    <t>Milwaukee, Ozaukee, Racine</t>
  </si>
  <si>
    <t>Buffalo, La Crosse, Trempealeau</t>
  </si>
  <si>
    <t>Adams, Crawford, Vernon</t>
  </si>
  <si>
    <t>Buffalo, Jackson, Trempealeau</t>
  </si>
  <si>
    <t>Dodge, Jefferson, Walworth</t>
  </si>
  <si>
    <t>Milwaukee, Outagamie, Washington</t>
  </si>
  <si>
    <t>Dodge, Washington, Waukesha</t>
  </si>
  <si>
    <t>Crawford, Kenosha</t>
  </si>
  <si>
    <t>Crawford, Richland</t>
  </si>
  <si>
    <t>Green, Milwaukee</t>
  </si>
  <si>
    <t>Milwaukee, Racine</t>
  </si>
  <si>
    <t>Green, Racine</t>
  </si>
  <si>
    <t>Dane, Green</t>
  </si>
  <si>
    <t>Crawford, Pepin</t>
  </si>
  <si>
    <t>Marathon, Wood</t>
  </si>
  <si>
    <t>Fond du Lac, Green Lake</t>
  </si>
  <si>
    <t>Racine, Waukesha</t>
  </si>
  <si>
    <t>Buffalo, Trempealeau</t>
  </si>
  <si>
    <t>Dodge, Walworth</t>
  </si>
  <si>
    <t>Milwaukee, Washington</t>
  </si>
  <si>
    <t>Green, Washington</t>
  </si>
  <si>
    <t>Judicatory/Organization</t>
  </si>
  <si>
    <t>Contact Name</t>
  </si>
  <si>
    <t>ALL/PR</t>
  </si>
  <si>
    <t>ELCA East-Central Synod</t>
  </si>
  <si>
    <t>ELCA Greater Milwaukee Synod</t>
  </si>
  <si>
    <t>ELCA LaCrosse Area Synod</t>
  </si>
  <si>
    <t>Moravian Church, Western District</t>
  </si>
  <si>
    <t>PC(USA), John Knox Presbytery</t>
  </si>
  <si>
    <t>Rev. Devon Reynolds</t>
  </si>
  <si>
    <t>Rev. Christian Boyd, Ann Gibbs</t>
  </si>
  <si>
    <t>Rev. Richard Blood</t>
  </si>
  <si>
    <t>PC(USA), Winnebago Presbytery</t>
  </si>
  <si>
    <t>UMC- Boo</t>
  </si>
  <si>
    <t>Dada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</si>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</sst>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2">
    <font>
      <sz val="11"/>
      <color theme="1"/>
      <name val="Calibri"/>
      <scheme val="minor"/>
    </font>
    <font>
      <b/>
      <sz val="12"/>
      <color theme="1"/>
      <name val="Calibri"/>
    </font>
    <font>
      <sz val="12"/>
      <color theme="1"/>
      <name val="Calibri"/>
    </font>
    <font>
      <b/>
      <i/>
      <sz val="12"/>
      <color theme="1"/>
      <name val="Calibri"/>
    </font>
    <font>
      <sz val="11"/>
      <color theme="1"/>
      <name val="Calibri"/>
    </font>
    <font>
      <sz val="11"/>
      <color rgb="FF1A1A1A"/>
      <name val="Arial"/>
    </font>
    <font>
      <sz val="11"/>
      <color rgb="FF1A1A1A"/>
      <name val="Calibri"/>
    </font>
    <font>
      <sz val="11"/>
      <color rgb="FF222222"/>
      <name val="Calibri"/>
    </font>
    <font>
      <b/>
      <sz val="20"/>
      <color rgb="FFFFFFFF"/>
      <name val="Arial"/>
    </font>
    <font>
      <sz val="11"/>
      <name val="Calibri"/>
    </font>
    <font>
      <i/>
      <sz val="12"/>
      <color rgb="FF1F3864"/>
      <name val="Arial"/>
    </font>
    <font>
      <b/>
      <sz val="26"/>
      <color rgb="FFFFFFFF"/>
      <name val="Arial"/>
    </font>
    <font>
      <sz val="9"/>
      <color rgb="FF1F3864"/>
      <name val="Arial"/>
    </font>
    <font>
      <sz val="9"/>
      <color rgb="FF2E75B6"/>
      <name val="Arial"/>
    </font>
    <font>
      <sz val="9"/>
      <color rgb="FFC00000"/>
      <name val="Arial"/>
    </font>
    <font>
      <sz val="9"/>
      <color rgb="FFED7D31"/>
      <name val="Arial"/>
    </font>
    <font>
      <b/>
      <sz val="11"/>
      <color rgb="FFFFFFFF"/>
      <name val="Arial"/>
    </font>
    <font>
      <b/>
      <sz val="9"/>
      <color rgb="FFFFFFFF"/>
      <name val="Arial"/>
    </font>
    <font>
      <sz val="9"/>
      <color rgb="FF000000"/>
      <name val="Arial"/>
    </font>
    <font>
      <b/>
      <sz val="9"/>
      <color rgb="FFC00000"/>
      <name val="Arial"/>
    </font>
    <font>
      <sz val="8"/>
      <color theme="1"/>
      <name val="Arial"/>
    </font>
    <font>
      <b/>
      <sz val="9"/>
      <color rgb="FFED7D31"/>
      <name val="Arial"/>
    </font>
    <font>
      <b/>
      <sz val="13"/>
      <color rgb="FFFFFFFF"/>
      <name val="Arial"/>
    </font>
    <font>
      <b/>
      <sz val="10"/>
      <color rgb="FFFFFFFF"/>
      <name val="Arial"/>
    </font>
    <font>
      <b/>
      <sz val="7"/>
      <color rgb="FFFFFFFF"/>
      <name val="Arial"/>
    </font>
    <font>
      <b/>
      <sz val="9"/>
      <color theme="1"/>
      <name val="Arial"/>
    </font>
    <font>
      <b/>
      <sz val="9"/>
      <color rgb="FF000000"/>
      <name val="Arial"/>
    </font>
    <font>
      <b/>
      <sz val="8"/>
      <color theme="1"/>
      <name val="Arial"/>
    </font>
    <font>
      <b/>
      <sz val="8"/>
      <color rgb="FFFFFFFF"/>
      <name val="Arial"/>
    </font>
    <font>
      <b/>
      <sz val="8"/>
      <color rgb="FF2E75B6"/>
      <name val="Arial"/>
    </font>
    <font>
      <sz val="8"/>
      <color rgb="FFAAAAAA"/>
      <name val="Arial"/>
    </font>
    <font>
      <b/>
      <sz val="14"/>
      <color rgb="FFFFFFFF"/>
      <name val="Arial"/>
    </font>
    <font>
      <sz val="9"/>
      <color theme="1"/>
      <name val="Arial"/>
    </font>
    <font>
      <b/>
      <sz val="18"/>
      <color rgb="FFFFFFFF"/>
      <name val="Arial"/>
    </font>
    <font>
      <sz val="9"/>
      <color rgb="FF333333"/>
      <name val="Arial"/>
    </font>
    <font>
      <sz val="11"/>
      <color theme="1"/>
      <name val="Calibri"/>
      <scheme val="minor"/>
    </font>
    <font>
      <sz val="8"/>
      <color rgb="FF000000"/>
      <name val="Arial"/>
    </font>
    <font>
      <sz val="8"/>
      <color rgb="FFFFFFFF"/>
      <name val="Arial"/>
    </font>
    <font>
      <sz val="8"/>
      <color rgb="FF2E75B6"/>
      <name val="Arial"/>
    </font>
    <font>
      <b/>
      <sz val="8"/>
      <color rgb="FF000000"/>
      <name val="Arial"/>
    </font>
    <font>
      <b/>
      <sz val="8"/>
      <color rgb="FF555555"/>
      <name val="Arial"/>
    </font>
    <font>
      <i/>
      <sz val="8"/>
      <color rgb="FF777777"/>
      <name val="Arial"/>
    </font>
  </fonts>
  <fills count="21">
    <fill>
      <patternFill patternType="none"/>
    </fill>
    <fill>
      <patternFill patternType="gray125"/>
    </fill>
    <fill>
      <patternFill patternType="solid">
        <fgColor rgb="FFC5E0B3"/>
        <bgColor rgb="FFC5E0B3"/>
      </patternFill>
    </fill>
    <fill>
      <patternFill patternType="solid">
        <fgColor rgb="FFFF00FF"/>
        <bgColor rgb="FFFF00FF"/>
      </patternFill>
    </fill>
    <fill>
      <patternFill patternType="solid">
        <fgColor rgb="FFF7CAAC"/>
        <bgColor rgb="FFF7CAAC"/>
      </patternFill>
    </fill>
    <fill>
      <patternFill patternType="solid">
        <fgColor rgb="FFEAD1DC"/>
        <bgColor rgb="FFEAD1DC"/>
      </patternFill>
    </fill>
    <fill>
      <patternFill patternType="solid">
        <fgColor rgb="FF1F3864"/>
        <bgColor rgb="FF1F3864"/>
      </patternFill>
    </fill>
    <fill>
      <patternFill patternType="solid">
        <fgColor rgb="FFDEEAF1"/>
        <bgColor rgb="FFDEEAF1"/>
      </patternFill>
    </fill>
    <fill>
      <patternFill patternType="solid">
        <fgColor rgb="FF2E75B6"/>
        <bgColor rgb="FF2E75B6"/>
      </patternFill>
    </fill>
    <fill>
      <patternFill patternType="solid">
        <fgColor rgb="FFC00000"/>
        <bgColor rgb="FFC00000"/>
      </patternFill>
    </fill>
    <fill>
      <patternFill patternType="solid">
        <fgColor rgb="FFED7D31"/>
        <bgColor rgb="FFED7D31"/>
      </patternFill>
    </fill>
    <fill>
      <patternFill patternType="solid">
        <fgColor rgb="FFF2F2F2"/>
        <bgColor rgb="FFF2F2F2"/>
      </patternFill>
    </fill>
    <fill>
      <patternFill patternType="solid">
        <fgColor theme="4"/>
        <bgColor theme="4"/>
      </patternFill>
    </fill>
    <fill>
      <patternFill patternType="solid">
        <fgColor rgb="FFFFFFFF"/>
        <bgColor rgb="FFFFFFFF"/>
      </patternFill>
    </fill>
    <fill>
      <patternFill patternType="solid">
        <fgColor rgb="FF2D4E8A"/>
        <bgColor rgb="FF2D4E8A"/>
      </patternFill>
    </fill>
    <fill>
      <patternFill patternType="solid">
        <fgColor rgb="FFF4B942"/>
        <bgColor rgb="FFF4B942"/>
      </patternFill>
    </fill>
    <fill>
      <patternFill patternType="solid">
        <fgColor rgb="FFD9D9D9"/>
        <bgColor rgb="FFD9D9D9"/>
      </patternFill>
    </fill>
    <fill>
      <patternFill patternType="solid">
        <fgColor rgb="FFF4CCCC"/>
        <bgColor rgb="FFF4CCCC"/>
      </patternFill>
    </fill>
    <fill>
      <patternFill patternType="solid">
        <fgColor rgb="FFFF0000"/>
        <bgColor rgb="FFFF0000"/>
      </patternFill>
    </fill>
    <fill>
      <patternFill patternType="solid">
        <fgColor rgb="FFF3E6FF"/>
        <bgColor rgb="FFF3E6FF"/>
      </patternFill>
    </fill>
    <fill>
      <patternFill patternType="solid">
        <fgColor rgb="FFF9F3FF"/>
        <bgColor rgb="FFF9F3FF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thin">
        <color rgb="FFAAAAAA"/>
      </bottom>
      <diagonal/>
    </border>
    <border>
      <left style="thin">
        <color rgb="FFAAAAAA"/>
      </left>
      <right style="thin">
        <color rgb="FFAAAAAA"/>
      </right>
      <top style="thin">
        <color rgb="FFAAAAAA"/>
      </top>
      <bottom style="medium">
        <color rgb="FF333333"/>
      </bottom>
      <diagonal/>
    </border>
    <border>
      <left style="medium">
        <color rgb="FF7030A0"/>
      </left>
      <right/>
      <top style="medium">
        <color rgb="FF7030A0"/>
      </top>
      <bottom style="medium">
        <color rgb="FF7030A0"/>
      </bottom>
      <diagonal/>
    </border>
    <border>
      <left/>
      <right/>
      <top style="medium">
        <color rgb="FF7030A0"/>
      </top>
      <bottom style="medium">
        <color rgb="FF7030A0"/>
      </bottom>
      <diagonal/>
    </border>
    <border>
      <left/>
      <right/>
      <top style="medium">
        <color rgb="FF7030A0"/>
      </top>
      <bottom style="medium">
        <color rgb="FF7030A0"/>
      </bottom>
      <diagonal/>
    </border>
    <border>
      <left style="medium">
        <color rgb="FF7030A0"/>
      </left>
      <right style="medium">
        <color rgb="FF7030A0"/>
      </right>
      <top style="medium">
        <color rgb="FF7030A0"/>
      </top>
      <bottom style="medium">
        <color rgb="FF7030A0"/>
      </bottom>
      <diagonal/>
    </border>
  </borders>
  <cellStyleXfs count="1">
    <xf numFmtId="0" fontId="0" fillId="0" borderId="0"/>
  </cellStyleXfs>
  <cellXfs count="122">
    <xf numFmtId="0" fontId="0" fillId="0" borderId="0" xfId="0" applyFont="1" applyAlignment="1"/>
    <xf numFmtId="0" fontId="1" fillId="2" borderId="1" xfId="0" applyFont="1" applyFill="1" applyBorder="1" applyAlignment="1"/>
    <xf numFmtId="0" fontId="2" fillId="2" borderId="1" xfId="0" applyFont="1" applyFill="1" applyBorder="1" applyAlignment="1">
      <alignment horizontal="right" textRotation="90"/>
    </xf>
    <xf numFmtId="0" fontId="1" fillId="2" borderId="1" xfId="0" applyFont="1" applyFill="1" applyBorder="1" applyAlignment="1">
      <alignment horizontal="center" textRotation="90"/>
    </xf>
    <xf numFmtId="0" fontId="2" fillId="2" borderId="1" xfId="0" applyFont="1" applyFill="1" applyBorder="1" applyAlignment="1">
      <alignment horizontal="center" textRotation="90"/>
    </xf>
    <xf numFmtId="0" fontId="2" fillId="3" borderId="0" xfId="0" applyFont="1" applyFill="1" applyAlignment="1">
      <alignment horizontal="center" textRotation="90"/>
    </xf>
    <xf numFmtId="0" fontId="2" fillId="0" borderId="1" xfId="0" applyFont="1" applyBorder="1" applyAlignment="1"/>
    <xf numFmtId="0" fontId="2" fillId="4" borderId="1" xfId="0" applyFont="1" applyFill="1" applyBorder="1" applyAlignment="1"/>
    <xf numFmtId="0" fontId="2" fillId="0" borderId="1" xfId="0" applyFont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2" fillId="0" borderId="0" xfId="0" applyFont="1" applyAlignment="1"/>
    <xf numFmtId="0" fontId="2" fillId="5" borderId="0" xfId="0" applyFont="1" applyFill="1"/>
    <xf numFmtId="0" fontId="3" fillId="0" borderId="1" xfId="0" applyFont="1" applyBorder="1" applyAlignment="1"/>
    <xf numFmtId="0" fontId="2" fillId="4" borderId="1" xfId="0" applyFont="1" applyFill="1" applyBorder="1" applyAlignment="1"/>
    <xf numFmtId="0" fontId="2" fillId="4" borderId="1" xfId="0" applyFont="1" applyFill="1" applyBorder="1"/>
    <xf numFmtId="0" fontId="2" fillId="2" borderId="1" xfId="0" applyFont="1" applyFill="1" applyBorder="1"/>
    <xf numFmtId="0" fontId="4" fillId="2" borderId="1" xfId="0" applyFont="1" applyFill="1" applyBorder="1" applyAlignment="1">
      <alignment wrapText="1"/>
    </xf>
    <xf numFmtId="0" fontId="5" fillId="0" borderId="1" xfId="0" applyFont="1" applyBorder="1" applyAlignment="1"/>
    <xf numFmtId="0" fontId="6" fillId="0" borderId="1" xfId="0" applyFont="1" applyBorder="1" applyAlignment="1">
      <alignment wrapText="1"/>
    </xf>
    <xf numFmtId="0" fontId="5" fillId="0" borderId="0" xfId="0" applyFont="1" applyAlignment="1"/>
    <xf numFmtId="0" fontId="4" fillId="0" borderId="0" xfId="0" applyFont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7" fillId="0" borderId="0" xfId="0" applyFont="1" applyAlignment="1">
      <alignment wrapText="1"/>
    </xf>
    <xf numFmtId="0" fontId="17" fillId="6" borderId="5" xfId="0" applyFont="1" applyFill="1" applyBorder="1" applyAlignment="1">
      <alignment horizontal="center" vertical="center" wrapText="1"/>
    </xf>
    <xf numFmtId="0" fontId="17" fillId="8" borderId="5" xfId="0" applyFont="1" applyFill="1" applyBorder="1" applyAlignment="1">
      <alignment horizontal="center" vertical="center" wrapText="1"/>
    </xf>
    <xf numFmtId="0" fontId="18" fillId="11" borderId="5" xfId="0" applyFont="1" applyFill="1" applyBorder="1" applyAlignment="1">
      <alignment horizontal="left" vertical="center" wrapText="1"/>
    </xf>
    <xf numFmtId="0" fontId="18" fillId="11" borderId="5" xfId="0" applyFont="1" applyFill="1" applyBorder="1" applyAlignment="1">
      <alignment horizontal="center" vertical="center" wrapText="1"/>
    </xf>
    <xf numFmtId="0" fontId="19" fillId="11" borderId="5" xfId="0" applyFont="1" applyFill="1" applyBorder="1" applyAlignment="1">
      <alignment horizontal="center" vertical="center" wrapText="1"/>
    </xf>
    <xf numFmtId="0" fontId="20" fillId="11" borderId="5" xfId="0" applyFont="1" applyFill="1" applyBorder="1" applyAlignment="1">
      <alignment horizontal="left" vertical="center" wrapText="1"/>
    </xf>
    <xf numFmtId="0" fontId="20" fillId="11" borderId="5" xfId="0" applyFont="1" applyFill="1" applyBorder="1" applyAlignment="1">
      <alignment horizontal="center" vertical="center" wrapText="1"/>
    </xf>
    <xf numFmtId="0" fontId="18" fillId="13" borderId="5" xfId="0" applyFont="1" applyFill="1" applyBorder="1" applyAlignment="1">
      <alignment horizontal="left" vertical="center" wrapText="1"/>
    </xf>
    <xf numFmtId="0" fontId="18" fillId="13" borderId="5" xfId="0" applyFont="1" applyFill="1" applyBorder="1" applyAlignment="1">
      <alignment horizontal="center" vertical="center" wrapText="1"/>
    </xf>
    <xf numFmtId="0" fontId="19" fillId="13" borderId="5" xfId="0" applyFont="1" applyFill="1" applyBorder="1" applyAlignment="1">
      <alignment horizontal="center" vertical="center" wrapText="1"/>
    </xf>
    <xf numFmtId="0" fontId="20" fillId="13" borderId="5" xfId="0" applyFont="1" applyFill="1" applyBorder="1" applyAlignment="1">
      <alignment horizontal="left" vertical="center" wrapText="1"/>
    </xf>
    <xf numFmtId="0" fontId="20" fillId="13" borderId="5" xfId="0" applyFont="1" applyFill="1" applyBorder="1" applyAlignment="1">
      <alignment horizontal="center" vertical="center" wrapText="1"/>
    </xf>
    <xf numFmtId="0" fontId="21" fillId="11" borderId="5" xfId="0" applyFont="1" applyFill="1" applyBorder="1" applyAlignment="1">
      <alignment horizontal="center" vertical="center" wrapText="1"/>
    </xf>
    <xf numFmtId="0" fontId="21" fillId="13" borderId="5" xfId="0" applyFont="1" applyFill="1" applyBorder="1" applyAlignment="1">
      <alignment horizontal="center" vertical="center" wrapText="1"/>
    </xf>
    <xf numFmtId="0" fontId="23" fillId="6" borderId="5" xfId="0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center" textRotation="90" wrapText="1"/>
    </xf>
    <xf numFmtId="0" fontId="24" fillId="14" borderId="5" xfId="0" applyFont="1" applyFill="1" applyBorder="1" applyAlignment="1">
      <alignment horizontal="center" textRotation="90" wrapText="1"/>
    </xf>
    <xf numFmtId="0" fontId="25" fillId="11" borderId="5" xfId="0" applyFont="1" applyFill="1" applyBorder="1" applyAlignment="1">
      <alignment horizontal="left" vertical="center" wrapText="1"/>
    </xf>
    <xf numFmtId="0" fontId="26" fillId="8" borderId="5" xfId="0" applyFont="1" applyFill="1" applyBorder="1" applyAlignment="1">
      <alignment horizontal="center" vertical="center" wrapText="1"/>
    </xf>
    <xf numFmtId="0" fontId="27" fillId="11" borderId="5" xfId="0" applyFont="1" applyFill="1" applyBorder="1" applyAlignment="1">
      <alignment horizontal="center" vertical="center" wrapText="1"/>
    </xf>
    <xf numFmtId="0" fontId="28" fillId="6" borderId="5" xfId="0" applyFont="1" applyFill="1" applyBorder="1" applyAlignment="1">
      <alignment horizontal="center" vertical="center" wrapText="1"/>
    </xf>
    <xf numFmtId="0" fontId="25" fillId="13" borderId="5" xfId="0" applyFont="1" applyFill="1" applyBorder="1" applyAlignment="1">
      <alignment horizontal="left" vertical="center" wrapText="1"/>
    </xf>
    <xf numFmtId="0" fontId="27" fillId="13" borderId="5" xfId="0" applyFont="1" applyFill="1" applyBorder="1" applyAlignment="1">
      <alignment horizontal="center" vertical="center" wrapText="1"/>
    </xf>
    <xf numFmtId="0" fontId="28" fillId="8" borderId="5" xfId="0" applyFont="1" applyFill="1" applyBorder="1" applyAlignment="1">
      <alignment horizontal="center" vertical="center" wrapText="1"/>
    </xf>
    <xf numFmtId="0" fontId="26" fillId="15" borderId="5" xfId="0" applyFont="1" applyFill="1" applyBorder="1" applyAlignment="1">
      <alignment horizontal="center" vertical="center" wrapText="1"/>
    </xf>
    <xf numFmtId="0" fontId="17" fillId="10" borderId="5" xfId="0" applyFont="1" applyFill="1" applyBorder="1" applyAlignment="1">
      <alignment horizontal="center" vertical="center" wrapText="1"/>
    </xf>
    <xf numFmtId="0" fontId="17" fillId="9" borderId="5" xfId="0" applyFont="1" applyFill="1" applyBorder="1" applyAlignment="1">
      <alignment horizontal="center" vertical="center" wrapText="1"/>
    </xf>
    <xf numFmtId="0" fontId="26" fillId="16" borderId="5" xfId="0" applyFont="1" applyFill="1" applyBorder="1" applyAlignment="1">
      <alignment horizontal="center" vertical="center" wrapText="1"/>
    </xf>
    <xf numFmtId="0" fontId="17" fillId="6" borderId="6" xfId="0" applyFont="1" applyFill="1" applyBorder="1" applyAlignment="1">
      <alignment horizontal="center" vertical="center" wrapText="1"/>
    </xf>
    <xf numFmtId="0" fontId="26" fillId="13" borderId="5" xfId="0" applyFont="1" applyFill="1" applyBorder="1" applyAlignment="1">
      <alignment horizontal="center" vertical="center" wrapText="1"/>
    </xf>
    <xf numFmtId="0" fontId="29" fillId="11" borderId="5" xfId="0" applyFont="1" applyFill="1" applyBorder="1" applyAlignment="1">
      <alignment horizontal="left" vertical="center" wrapText="1"/>
    </xf>
    <xf numFmtId="0" fontId="29" fillId="13" borderId="5" xfId="0" applyFont="1" applyFill="1" applyBorder="1" applyAlignment="1">
      <alignment horizontal="left" vertical="center" wrapText="1"/>
    </xf>
    <xf numFmtId="0" fontId="30" fillId="13" borderId="5" xfId="0" applyFont="1" applyFill="1" applyBorder="1" applyAlignment="1">
      <alignment horizontal="center" vertical="center" wrapText="1"/>
    </xf>
    <xf numFmtId="0" fontId="17" fillId="8" borderId="6" xfId="0" applyFont="1" applyFill="1" applyBorder="1" applyAlignment="1">
      <alignment horizontal="center" vertical="center" wrapText="1"/>
    </xf>
    <xf numFmtId="0" fontId="26" fillId="11" borderId="5" xfId="0" applyFont="1" applyFill="1" applyBorder="1" applyAlignment="1">
      <alignment horizontal="left" vertical="center" wrapText="1"/>
    </xf>
    <xf numFmtId="0" fontId="13" fillId="11" borderId="5" xfId="0" applyFont="1" applyFill="1" applyBorder="1" applyAlignment="1">
      <alignment horizontal="left" vertical="center" wrapText="1"/>
    </xf>
    <xf numFmtId="0" fontId="26" fillId="13" borderId="5" xfId="0" applyFont="1" applyFill="1" applyBorder="1" applyAlignment="1">
      <alignment horizontal="left" vertical="center" wrapText="1"/>
    </xf>
    <xf numFmtId="0" fontId="13" fillId="13" borderId="5" xfId="0" applyFont="1" applyFill="1" applyBorder="1" applyAlignment="1">
      <alignment horizontal="left" vertical="center" wrapText="1"/>
    </xf>
    <xf numFmtId="0" fontId="32" fillId="11" borderId="5" xfId="0" applyFont="1" applyFill="1" applyBorder="1" applyAlignment="1">
      <alignment horizontal="left" vertical="center" wrapText="1"/>
    </xf>
    <xf numFmtId="0" fontId="32" fillId="11" borderId="5" xfId="0" applyFont="1" applyFill="1" applyBorder="1" applyAlignment="1">
      <alignment horizontal="center" vertical="center" wrapText="1"/>
    </xf>
    <xf numFmtId="0" fontId="32" fillId="13" borderId="5" xfId="0" applyFont="1" applyFill="1" applyBorder="1" applyAlignment="1">
      <alignment horizontal="left" vertical="center" wrapText="1"/>
    </xf>
    <xf numFmtId="0" fontId="32" fillId="13" borderId="5" xfId="0" applyFont="1" applyFill="1" applyBorder="1" applyAlignment="1">
      <alignment horizontal="center" vertical="center" wrapText="1"/>
    </xf>
    <xf numFmtId="0" fontId="17" fillId="17" borderId="5" xfId="0" applyFont="1" applyFill="1" applyBorder="1" applyAlignment="1">
      <alignment horizontal="center" vertical="center" wrapText="1"/>
    </xf>
    <xf numFmtId="0" fontId="27" fillId="11" borderId="5" xfId="0" applyFont="1" applyFill="1" applyBorder="1" applyAlignment="1">
      <alignment horizontal="left" vertical="center" wrapText="1"/>
    </xf>
    <xf numFmtId="0" fontId="27" fillId="13" borderId="5" xfId="0" applyFont="1" applyFill="1" applyBorder="1" applyAlignment="1">
      <alignment horizontal="left" vertical="center" wrapText="1"/>
    </xf>
    <xf numFmtId="0" fontId="35" fillId="18" borderId="0" xfId="0" applyFont="1" applyFill="1" applyAlignment="1"/>
    <xf numFmtId="0" fontId="36" fillId="11" borderId="5" xfId="0" applyFont="1" applyFill="1" applyBorder="1" applyAlignment="1">
      <alignment horizontal="left" vertical="center" wrapText="1"/>
    </xf>
    <xf numFmtId="0" fontId="37" fillId="9" borderId="5" xfId="0" applyFont="1" applyFill="1" applyBorder="1" applyAlignment="1">
      <alignment horizontal="center" vertical="center" wrapText="1"/>
    </xf>
    <xf numFmtId="0" fontId="36" fillId="13" borderId="5" xfId="0" applyFont="1" applyFill="1" applyBorder="1" applyAlignment="1">
      <alignment horizontal="left" vertical="center" wrapText="1"/>
    </xf>
    <xf numFmtId="0" fontId="37" fillId="10" borderId="5" xfId="0" applyFont="1" applyFill="1" applyBorder="1" applyAlignment="1">
      <alignment horizontal="center" vertical="center" wrapText="1"/>
    </xf>
    <xf numFmtId="0" fontId="36" fillId="15" borderId="5" xfId="0" applyFont="1" applyFill="1" applyBorder="1" applyAlignment="1">
      <alignment horizontal="center" vertical="center" wrapText="1"/>
    </xf>
    <xf numFmtId="0" fontId="36" fillId="11" borderId="5" xfId="0" applyFont="1" applyFill="1" applyBorder="1" applyAlignment="1">
      <alignment horizontal="center" vertical="center" wrapText="1"/>
    </xf>
    <xf numFmtId="0" fontId="36" fillId="13" borderId="5" xfId="0" applyFont="1" applyFill="1" applyBorder="1" applyAlignment="1">
      <alignment horizontal="center" vertical="center" wrapText="1"/>
    </xf>
    <xf numFmtId="0" fontId="24" fillId="6" borderId="5" xfId="0" applyFont="1" applyFill="1" applyBorder="1" applyAlignment="1">
      <alignment horizontal="center" textRotation="90"/>
    </xf>
    <xf numFmtId="0" fontId="24" fillId="14" borderId="5" xfId="0" applyFont="1" applyFill="1" applyBorder="1" applyAlignment="1">
      <alignment horizontal="center" textRotation="90"/>
    </xf>
    <xf numFmtId="0" fontId="38" fillId="11" borderId="5" xfId="0" applyFont="1" applyFill="1" applyBorder="1" applyAlignment="1">
      <alignment horizontal="left" vertical="center" wrapText="1"/>
    </xf>
    <xf numFmtId="0" fontId="39" fillId="11" borderId="5" xfId="0" applyFont="1" applyFill="1" applyBorder="1" applyAlignment="1">
      <alignment horizontal="center" vertical="center" wrapText="1"/>
    </xf>
    <xf numFmtId="0" fontId="38" fillId="13" borderId="5" xfId="0" applyFont="1" applyFill="1" applyBorder="1" applyAlignment="1">
      <alignment horizontal="left" vertical="center" wrapText="1"/>
    </xf>
    <xf numFmtId="0" fontId="39" fillId="13" borderId="5" xfId="0" applyFont="1" applyFill="1" applyBorder="1" applyAlignment="1">
      <alignment horizontal="center" vertical="center" wrapText="1"/>
    </xf>
    <xf numFmtId="0" fontId="28" fillId="10" borderId="5" xfId="0" applyFont="1" applyFill="1" applyBorder="1" applyAlignment="1">
      <alignment horizontal="center" vertical="center" wrapText="1"/>
    </xf>
    <xf numFmtId="0" fontId="40" fillId="11" borderId="5" xfId="0" applyFont="1" applyFill="1" applyBorder="1" applyAlignment="1">
      <alignment horizontal="center" vertical="center" wrapText="1"/>
    </xf>
    <xf numFmtId="0" fontId="40" fillId="13" borderId="5" xfId="0" applyFont="1" applyFill="1" applyBorder="1" applyAlignment="1">
      <alignment horizontal="center" vertical="center" wrapText="1"/>
    </xf>
    <xf numFmtId="0" fontId="28" fillId="0" borderId="5" xfId="0" applyFont="1" applyBorder="1" applyAlignment="1">
      <alignment horizontal="center" vertical="center" wrapText="1"/>
    </xf>
    <xf numFmtId="0" fontId="39" fillId="0" borderId="5" xfId="0" applyFont="1" applyBorder="1" applyAlignment="1">
      <alignment horizontal="center" vertical="center" wrapText="1"/>
    </xf>
    <xf numFmtId="0" fontId="38" fillId="13" borderId="5" xfId="0" applyFont="1" applyFill="1" applyBorder="1" applyAlignment="1">
      <alignment horizontal="left" vertical="center" wrapText="1"/>
    </xf>
    <xf numFmtId="0" fontId="38" fillId="11" borderId="5" xfId="0" applyFont="1" applyFill="1" applyBorder="1" applyAlignment="1">
      <alignment horizontal="left" vertical="center" wrapText="1"/>
    </xf>
    <xf numFmtId="0" fontId="27" fillId="13" borderId="5" xfId="0" applyFont="1" applyFill="1" applyBorder="1" applyAlignment="1">
      <alignment horizontal="left" vertical="center" wrapText="1"/>
    </xf>
    <xf numFmtId="0" fontId="41" fillId="19" borderId="10" xfId="0" applyFont="1" applyFill="1" applyBorder="1" applyAlignment="1">
      <alignment horizontal="left" vertical="center" wrapText="1"/>
    </xf>
    <xf numFmtId="0" fontId="20" fillId="19" borderId="10" xfId="0" applyFont="1" applyFill="1" applyBorder="1" applyAlignment="1">
      <alignment horizontal="center" vertical="center" wrapText="1"/>
    </xf>
    <xf numFmtId="0" fontId="20" fillId="19" borderId="5" xfId="0" applyFont="1" applyFill="1" applyBorder="1" applyAlignment="1">
      <alignment horizontal="center" vertical="center" wrapText="1"/>
    </xf>
    <xf numFmtId="0" fontId="20" fillId="20" borderId="10" xfId="0" applyFont="1" applyFill="1" applyBorder="1" applyAlignment="1">
      <alignment horizontal="center" vertical="center" wrapText="1"/>
    </xf>
    <xf numFmtId="0" fontId="41" fillId="19" borderId="10" xfId="0" applyFont="1" applyFill="1" applyBorder="1" applyAlignment="1">
      <alignment horizontal="left" vertical="center" wrapText="1"/>
    </xf>
    <xf numFmtId="0" fontId="20" fillId="20" borderId="10" xfId="0" applyFont="1" applyFill="1" applyBorder="1" applyAlignment="1">
      <alignment horizontal="center" vertical="center" wrapText="1"/>
    </xf>
    <xf numFmtId="0" fontId="13" fillId="11" borderId="2" xfId="0" applyFont="1" applyFill="1" applyBorder="1" applyAlignment="1">
      <alignment horizontal="center" vertical="center" wrapText="1"/>
    </xf>
    <xf numFmtId="0" fontId="9" fillId="0" borderId="4" xfId="0" applyFont="1" applyBorder="1"/>
    <xf numFmtId="0" fontId="14" fillId="11" borderId="2" xfId="0" applyFont="1" applyFill="1" applyBorder="1" applyAlignment="1">
      <alignment horizontal="center" vertical="center" wrapText="1"/>
    </xf>
    <xf numFmtId="0" fontId="16" fillId="6" borderId="2" xfId="0" applyFont="1" applyFill="1" applyBorder="1" applyAlignment="1">
      <alignment horizontal="center" vertical="center" wrapText="1"/>
    </xf>
    <xf numFmtId="0" fontId="9" fillId="0" borderId="3" xfId="0" applyFont="1" applyBorder="1"/>
    <xf numFmtId="0" fontId="16" fillId="12" borderId="2" xfId="0" applyFont="1" applyFill="1" applyBorder="1" applyAlignment="1">
      <alignment horizontal="center" vertical="center" wrapText="1"/>
    </xf>
    <xf numFmtId="0" fontId="17" fillId="8" borderId="2" xfId="0" applyFont="1" applyFill="1" applyBorder="1" applyAlignment="1">
      <alignment horizontal="center" vertical="center" wrapText="1"/>
    </xf>
    <xf numFmtId="0" fontId="8" fillId="6" borderId="2" xfId="0" applyFont="1" applyFill="1" applyBorder="1" applyAlignment="1">
      <alignment horizontal="center" vertical="center" wrapText="1"/>
    </xf>
    <xf numFmtId="0" fontId="10" fillId="7" borderId="2" xfId="0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0" fontId="11" fillId="8" borderId="2" xfId="0" applyFont="1" applyFill="1" applyBorder="1" applyAlignment="1">
      <alignment horizontal="center" vertical="center" wrapText="1"/>
    </xf>
    <xf numFmtId="0" fontId="11" fillId="9" borderId="2" xfId="0" applyFont="1" applyFill="1" applyBorder="1" applyAlignment="1">
      <alignment horizontal="center" vertical="center" wrapText="1"/>
    </xf>
    <xf numFmtId="0" fontId="11" fillId="10" borderId="2" xfId="0" applyFont="1" applyFill="1" applyBorder="1" applyAlignment="1">
      <alignment horizontal="center" vertical="center" wrapText="1"/>
    </xf>
    <xf numFmtId="0" fontId="12" fillId="11" borderId="2" xfId="0" applyFont="1" applyFill="1" applyBorder="1" applyAlignment="1">
      <alignment horizontal="center" vertical="center" wrapText="1"/>
    </xf>
    <xf numFmtId="0" fontId="15" fillId="11" borderId="2" xfId="0" applyFont="1" applyFill="1" applyBorder="1" applyAlignment="1">
      <alignment horizontal="center" vertical="center" wrapText="1"/>
    </xf>
    <xf numFmtId="0" fontId="22" fillId="6" borderId="2" xfId="0" applyFont="1" applyFill="1" applyBorder="1" applyAlignment="1">
      <alignment horizontal="center" vertical="center" wrapText="1"/>
    </xf>
    <xf numFmtId="0" fontId="22" fillId="9" borderId="2" xfId="0" applyFont="1" applyFill="1" applyBorder="1" applyAlignment="1">
      <alignment horizontal="center" vertical="center" wrapText="1"/>
    </xf>
    <xf numFmtId="0" fontId="31" fillId="6" borderId="2" xfId="0" applyFont="1" applyFill="1" applyBorder="1" applyAlignment="1">
      <alignment horizontal="center" vertical="center" wrapText="1"/>
    </xf>
    <xf numFmtId="0" fontId="16" fillId="8" borderId="2" xfId="0" applyFont="1" applyFill="1" applyBorder="1" applyAlignment="1">
      <alignment horizontal="center" vertical="center" wrapText="1"/>
    </xf>
    <xf numFmtId="0" fontId="16" fillId="9" borderId="2" xfId="0" applyFont="1" applyFill="1" applyBorder="1" applyAlignment="1">
      <alignment horizontal="center" vertical="center" wrapText="1"/>
    </xf>
    <xf numFmtId="0" fontId="33" fillId="6" borderId="2" xfId="0" applyFont="1" applyFill="1" applyBorder="1" applyAlignment="1">
      <alignment horizontal="center" vertical="center" wrapText="1"/>
    </xf>
    <xf numFmtId="0" fontId="34" fillId="7" borderId="7" xfId="0" applyFont="1" applyFill="1" applyBorder="1" applyAlignment="1">
      <alignment horizontal="left" vertical="center" wrapText="1"/>
    </xf>
    <xf numFmtId="0" fontId="9" fillId="0" borderId="8" xfId="0" applyFont="1" applyBorder="1"/>
    <xf numFmtId="0" fontId="9" fillId="0" borderId="9" xfId="0" applyFont="1" applyBorder="1"/>
    <xf numFmtId="0" fontId="22" fillId="10" borderId="2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customschemas.google.com/relationships/workbookmetadata" Target="metadata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Top 20 Wisconsin Counties by Judicatory Coverage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# Judicatories</c:v>
          </c:tx>
          <c:spPr>
            <a:solidFill>
              <a:srgbClr val="2E75B6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Charts!$B$6:$B$25</c:f>
              <c:strCache>
                <c:ptCount val="20"/>
                <c:pt idx="0">
                  <c:v>Milwaukee</c:v>
                </c:pt>
                <c:pt idx="1">
                  <c:v>Dane</c:v>
                </c:pt>
                <c:pt idx="2">
                  <c:v>Green</c:v>
                </c:pt>
                <c:pt idx="3">
                  <c:v>Washington</c:v>
                </c:pt>
                <c:pt idx="4">
                  <c:v>Crawford</c:v>
                </c:pt>
                <c:pt idx="5">
                  <c:v>Dodge</c:v>
                </c:pt>
                <c:pt idx="6">
                  <c:v>Racine</c:v>
                </c:pt>
                <c:pt idx="7">
                  <c:v>Rock</c:v>
                </c:pt>
                <c:pt idx="8">
                  <c:v>Grant</c:v>
                </c:pt>
                <c:pt idx="9">
                  <c:v>Kenosha</c:v>
                </c:pt>
                <c:pt idx="10">
                  <c:v>Ozaukee</c:v>
                </c:pt>
                <c:pt idx="11">
                  <c:v>Richland</c:v>
                </c:pt>
                <c:pt idx="12">
                  <c:v>Walworth</c:v>
                </c:pt>
                <c:pt idx="13">
                  <c:v>Columbia</c:v>
                </c:pt>
                <c:pt idx="14">
                  <c:v>Iowa</c:v>
                </c:pt>
                <c:pt idx="15">
                  <c:v>Jefferson</c:v>
                </c:pt>
                <c:pt idx="16">
                  <c:v>Lafayette</c:v>
                </c:pt>
                <c:pt idx="17">
                  <c:v>Sauk</c:v>
                </c:pt>
                <c:pt idx="18">
                  <c:v>Sheboygan</c:v>
                </c:pt>
                <c:pt idx="19">
                  <c:v>Pepin</c:v>
                </c:pt>
              </c:strCache>
            </c:strRef>
          </c:cat>
          <c:val>
            <c:numRef>
              <c:f>Charts!$C$6:$C$25</c:f>
              <c:numCache>
                <c:formatCode>General</c:formatCode>
                <c:ptCount val="20"/>
                <c:pt idx="0">
                  <c:v>20</c:v>
                </c:pt>
                <c:pt idx="1">
                  <c:v>16</c:v>
                </c:pt>
                <c:pt idx="2">
                  <c:v>13</c:v>
                </c:pt>
                <c:pt idx="3">
                  <c:v>14</c:v>
                </c:pt>
                <c:pt idx="4">
                  <c:v>12</c:v>
                </c:pt>
                <c:pt idx="5">
                  <c:v>12</c:v>
                </c:pt>
                <c:pt idx="6">
                  <c:v>12</c:v>
                </c:pt>
                <c:pt idx="7">
                  <c:v>12</c:v>
                </c:pt>
                <c:pt idx="8">
                  <c:v>11</c:v>
                </c:pt>
                <c:pt idx="9">
                  <c:v>12</c:v>
                </c:pt>
                <c:pt idx="10">
                  <c:v>11</c:v>
                </c:pt>
                <c:pt idx="11">
                  <c:v>11</c:v>
                </c:pt>
                <c:pt idx="12">
                  <c:v>11</c:v>
                </c:pt>
                <c:pt idx="13">
                  <c:v>10</c:v>
                </c:pt>
                <c:pt idx="14">
                  <c:v>10</c:v>
                </c:pt>
                <c:pt idx="15">
                  <c:v>11</c:v>
                </c:pt>
                <c:pt idx="16">
                  <c:v>10</c:v>
                </c:pt>
                <c:pt idx="17">
                  <c:v>10</c:v>
                </c:pt>
                <c:pt idx="18">
                  <c:v>9</c:v>
                </c:pt>
                <c:pt idx="19">
                  <c:v>8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A2EA-4A02-9969-F51812574FD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50577744"/>
        <c:axId val="1937021243"/>
      </c:barChart>
      <c:catAx>
        <c:axId val="1450577744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Number of Judicatories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937021243"/>
        <c:crosses val="autoZero"/>
        <c:auto val="1"/>
        <c:lblAlgn val="ctr"/>
        <c:lblOffset val="100"/>
        <c:noMultiLvlLbl val="1"/>
      </c:catAx>
      <c:valAx>
        <c:axId val="1937021243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sz="1000" b="1" i="0">
                    <a:solidFill>
                      <a:srgbClr val="000000"/>
                    </a:solidFill>
                    <a:latin typeface="Calibri"/>
                  </a:defRPr>
                </a:pPr>
                <a:r>
                  <a:rPr lang="en-US" sz="1000" b="1" i="0">
                    <a:solidFill>
                      <a:srgbClr val="000000"/>
                    </a:solidFill>
                    <a:latin typeface="Calibri"/>
                  </a:rPr>
                  <a:t>County</a:t>
                </a:r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450577744"/>
        <c:crosses val="max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 lvl="0">
              <a:defRPr sz="1800" b="1" i="0">
                <a:solidFill>
                  <a:srgbClr val="000000"/>
                </a:solidFill>
                <a:latin typeface="Calibri"/>
              </a:defRPr>
            </a:pPr>
            <a:r>
              <a:rPr lang="en-US" sz="1800" b="1" i="0">
                <a:solidFill>
                  <a:srgbClr val="000000"/>
                </a:solidFill>
                <a:latin typeface="Calibri"/>
              </a:rPr>
              <a:t>Judicatories by Number of Counties Covered</a:t>
            </a:r>
          </a:p>
        </c:rich>
      </c:tx>
      <c:layout/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v># Counties</c:v>
          </c:tx>
          <c:spPr>
            <a:solidFill>
              <a:srgbClr val="C00000"/>
            </a:solidFill>
            <a:ln cmpd="sng">
              <a:solidFill>
                <a:srgbClr val="000000"/>
              </a:solidFill>
            </a:ln>
          </c:spPr>
          <c:invertIfNegative val="1"/>
          <c:cat>
            <c:strRef>
              <c:f>Charts!$B$29:$B$48</c:f>
              <c:strCache>
                <c:ptCount val="20"/>
                <c:pt idx="0">
                  <c:v>UCC-WI, Northern Region</c:v>
                </c:pt>
                <c:pt idx="1">
                  <c:v>PC(USA), Winnebago Presbytery</c:v>
                </c:pt>
                <c:pt idx="2">
                  <c:v>UMC - WI, North East District</c:v>
                </c:pt>
                <c:pt idx="3">
                  <c:v>UMC - WI, North East District</c:v>
                </c:pt>
                <c:pt idx="4">
                  <c:v>UCC-WI, Eastern Region</c:v>
                </c:pt>
                <c:pt idx="5">
                  <c:v>UCC-WI, Southern Region</c:v>
                </c:pt>
                <c:pt idx="6">
                  <c:v>PC(USA), Northern Waters Presbytery</c:v>
                </c:pt>
                <c:pt idx="7">
                  <c:v>African Methodist Episcopal Church, 4th District</c:v>
                </c:pt>
                <c:pt idx="8">
                  <c:v>American Baptist Churches of Wisconsin</c:v>
                </c:pt>
                <c:pt idx="9">
                  <c:v>ELCA East-Central Synod</c:v>
                </c:pt>
                <c:pt idx="10">
                  <c:v>ELCA Northwest Synod</c:v>
                </c:pt>
                <c:pt idx="11">
                  <c:v>Mennonite Church USA, Central District Conference</c:v>
                </c:pt>
                <c:pt idx="12">
                  <c:v>Moravian Church, Western District</c:v>
                </c:pt>
                <c:pt idx="13">
                  <c:v>Orthodox Church in America, Diocese of the Midwest</c:v>
                </c:pt>
                <c:pt idx="14">
                  <c:v>Roman Catholic Diocese of LaCrosse</c:v>
                </c:pt>
                <c:pt idx="15">
                  <c:v>Greek Orthodox Church, Diocese of Chicago</c:v>
                </c:pt>
                <c:pt idx="16">
                  <c:v>PC(USA), John Knox Presbytery</c:v>
                </c:pt>
                <c:pt idx="17">
                  <c:v>Roman Catholic Diocese of Green Bay</c:v>
                </c:pt>
                <c:pt idx="18">
                  <c:v>UMC - WI, South West District</c:v>
                </c:pt>
                <c:pt idx="19">
                  <c:v>ELCA South-Central Synod</c:v>
                </c:pt>
              </c:strCache>
            </c:strRef>
          </c:cat>
          <c:val>
            <c:numRef>
              <c:f>Charts!$C$29:$C$48</c:f>
              <c:numCache>
                <c:formatCode>General</c:formatCode>
                <c:ptCount val="20"/>
                <c:pt idx="0">
                  <c:v>34</c:v>
                </c:pt>
                <c:pt idx="1">
                  <c:v>23</c:v>
                </c:pt>
                <c:pt idx="2">
                  <c:v>23</c:v>
                </c:pt>
                <c:pt idx="3">
                  <c:v>23</c:v>
                </c:pt>
                <c:pt idx="4">
                  <c:v>21</c:v>
                </c:pt>
                <c:pt idx="5">
                  <c:v>21</c:v>
                </c:pt>
                <c:pt idx="6">
                  <c:v>20</c:v>
                </c:pt>
                <c:pt idx="7">
                  <c:v>19</c:v>
                </c:pt>
                <c:pt idx="8">
                  <c:v>19</c:v>
                </c:pt>
                <c:pt idx="9">
                  <c:v>19</c:v>
                </c:pt>
                <c:pt idx="10">
                  <c:v>19</c:v>
                </c:pt>
                <c:pt idx="11">
                  <c:v>2</c:v>
                </c:pt>
                <c:pt idx="12">
                  <c:v>19</c:v>
                </c:pt>
                <c:pt idx="13">
                  <c:v>19</c:v>
                </c:pt>
                <c:pt idx="14">
                  <c:v>19</c:v>
                </c:pt>
                <c:pt idx="15">
                  <c:v>18</c:v>
                </c:pt>
                <c:pt idx="16">
                  <c:v>18</c:v>
                </c:pt>
                <c:pt idx="17">
                  <c:v>16</c:v>
                </c:pt>
                <c:pt idx="18">
                  <c:v>15</c:v>
                </c:pt>
                <c:pt idx="19">
                  <c:v>12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 cmpd="sng">
                    <a:solidFill>
                      <a:srgbClr val="000000"/>
                    </a:solidFill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8086-4E09-BC62-6675EFD28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695287180"/>
        <c:axId val="1665327072"/>
      </c:barChart>
      <c:catAx>
        <c:axId val="1695287180"/>
        <c:scaling>
          <c:orientation val="maxMin"/>
        </c:scaling>
        <c:delete val="0"/>
        <c:axPos val="l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65327072"/>
        <c:crosses val="autoZero"/>
        <c:auto val="1"/>
        <c:lblAlgn val="ctr"/>
        <c:lblOffset val="100"/>
        <c:noMultiLvlLbl val="1"/>
      </c:catAx>
      <c:valAx>
        <c:axId val="1665327072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endParaRPr lang="en-US"/>
              </a:p>
            </c:rich>
          </c:tx>
          <c:layout/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sz="1000" b="0" i="0">
                <a:solidFill>
                  <a:srgbClr val="000000"/>
                </a:solidFill>
                <a:latin typeface="Calibri"/>
              </a:defRPr>
            </a:pPr>
            <a:endParaRPr lang="en-US"/>
          </a:p>
        </c:txPr>
        <c:crossAx val="1695287180"/>
        <c:crosses val="max"/>
        <c:crossBetween val="between"/>
      </c:valAx>
    </c:plotArea>
    <c:legend>
      <c:legendPos val="r"/>
      <c:layout/>
      <c:overlay val="0"/>
      <c:txPr>
        <a:bodyPr/>
        <a:lstStyle/>
        <a:p>
          <a:pPr lvl="0">
            <a:defRPr sz="1000" b="0" i="0">
              <a:solidFill>
                <a:srgbClr val="000000"/>
              </a:solidFill>
              <a:latin typeface="Calibri"/>
            </a:defRPr>
          </a:pPr>
          <a:endParaRPr lang="en-US"/>
        </a:p>
      </c:txPr>
    </c:legend>
    <c:plotVisOnly val="1"/>
    <c:dispBlanksAs val="zero"/>
    <c:showDLblsOverMax val="1"/>
  </c:chart>
  <c:spPr>
    <a:solidFill>
      <a:srgbClr val="FFFFFF"/>
    </a:solidFill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5</xdr:col>
      <xdr:colOff>0</xdr:colOff>
      <xdr:row>3</xdr:row>
      <xdr:rowOff>0</xdr:rowOff>
    </xdr:from>
    <xdr:ext cx="6172200" cy="5753100"/>
    <xdr:graphicFrame macro="">
      <xdr:nvGraphicFramePr>
        <xdr:cNvPr id="1755386400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 fLocksWithSheet="0"/>
  </xdr:oneCellAnchor>
  <xdr:oneCellAnchor>
    <xdr:from>
      <xdr:col>4</xdr:col>
      <xdr:colOff>1066800</xdr:colOff>
      <xdr:row>30</xdr:row>
      <xdr:rowOff>47625</xdr:rowOff>
    </xdr:from>
    <xdr:ext cx="6172200" cy="5048250"/>
    <xdr:graphicFrame macro="">
      <xdr:nvGraphicFramePr>
        <xdr:cNvPr id="2060583773" name="Chart 2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X938"/>
  <sheetViews>
    <sheetView tabSelected="1" workbookViewId="0"/>
  </sheetViews>
  <sheetFormatPr defaultColWidth="14.41015625" defaultRowHeight="15" customHeight="1"/>
  <cols>
    <col min="1" max="1" width="35.703125" customWidth="1"/>
    <col min="2" max="2" width="58.29296875" customWidth="1"/>
    <col min="3" max="5" width="3.87890625" customWidth="1"/>
    <col min="6" max="6" width="3.41015625" customWidth="1"/>
    <col min="7" max="9" width="3.5859375" customWidth="1"/>
    <col min="10" max="10" width="3.703125" customWidth="1"/>
    <col min="11" max="11" width="3.41015625" customWidth="1"/>
    <col min="12" max="12" width="3.703125" customWidth="1"/>
    <col min="13" max="13" width="3.29296875" customWidth="1"/>
    <col min="14" max="14" width="3.41015625" customWidth="1"/>
    <col min="15" max="15" width="4" customWidth="1"/>
    <col min="16" max="16" width="3.29296875" customWidth="1"/>
    <col min="17" max="17" width="3.5859375" customWidth="1"/>
    <col min="18" max="19" width="3.29296875" customWidth="1"/>
    <col min="20" max="20" width="3.41015625" customWidth="1"/>
    <col min="21" max="21" width="3.5859375" customWidth="1"/>
    <col min="22" max="22" width="3.87890625" customWidth="1"/>
    <col min="23" max="23" width="3.5859375" customWidth="1"/>
    <col min="24" max="24" width="3.703125" customWidth="1"/>
    <col min="25" max="25" width="3.87890625" customWidth="1"/>
    <col min="26" max="26" width="3.5859375" customWidth="1"/>
    <col min="27" max="29" width="3.29296875" customWidth="1"/>
    <col min="30" max="30" width="3.1171875" customWidth="1"/>
    <col min="31" max="31" width="3.29296875" customWidth="1"/>
    <col min="32" max="32" width="3" customWidth="1"/>
    <col min="33" max="33" width="3.41015625" customWidth="1"/>
    <col min="34" max="34" width="2.87890625" customWidth="1"/>
    <col min="35" max="35" width="3.5859375" customWidth="1"/>
    <col min="36" max="36" width="2.703125" customWidth="1"/>
    <col min="37" max="37" width="2.87890625" customWidth="1"/>
    <col min="38" max="38" width="3" customWidth="1"/>
    <col min="39" max="39" width="3.29296875" customWidth="1"/>
  </cols>
  <sheetData>
    <row r="1" spans="1:76" ht="113.25" customHeight="1">
      <c r="A1" s="1" t="s">
        <v>0</v>
      </c>
      <c r="B1" s="2" t="s">
        <v>1</v>
      </c>
      <c r="C1" s="3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4" t="s">
        <v>39</v>
      </c>
      <c r="AO1" s="4" t="s">
        <v>40</v>
      </c>
      <c r="AP1" s="4" t="s">
        <v>41</v>
      </c>
      <c r="AQ1" s="4" t="s">
        <v>42</v>
      </c>
      <c r="AR1" s="4" t="s">
        <v>43</v>
      </c>
      <c r="AS1" s="4" t="s">
        <v>44</v>
      </c>
      <c r="AT1" s="4" t="s">
        <v>45</v>
      </c>
      <c r="AU1" s="4" t="s">
        <v>46</v>
      </c>
      <c r="AV1" s="4" t="s">
        <v>47</v>
      </c>
      <c r="AW1" s="4" t="s">
        <v>48</v>
      </c>
      <c r="AX1" s="4" t="s">
        <v>49</v>
      </c>
      <c r="AY1" s="4" t="s">
        <v>50</v>
      </c>
      <c r="AZ1" s="4" t="s">
        <v>51</v>
      </c>
      <c r="BA1" s="4" t="s">
        <v>52</v>
      </c>
      <c r="BB1" s="4" t="s">
        <v>53</v>
      </c>
      <c r="BC1" s="4" t="s">
        <v>54</v>
      </c>
      <c r="BD1" s="4" t="s">
        <v>55</v>
      </c>
      <c r="BE1" s="4" t="s">
        <v>56</v>
      </c>
      <c r="BF1" s="4" t="s">
        <v>57</v>
      </c>
      <c r="BG1" s="4" t="s">
        <v>58</v>
      </c>
      <c r="BH1" s="4" t="s">
        <v>59</v>
      </c>
      <c r="BI1" s="4" t="s">
        <v>60</v>
      </c>
      <c r="BJ1" s="4" t="s">
        <v>61</v>
      </c>
      <c r="BK1" s="4" t="s">
        <v>62</v>
      </c>
      <c r="BL1" s="4" t="s">
        <v>63</v>
      </c>
      <c r="BM1" s="4" t="s">
        <v>64</v>
      </c>
      <c r="BN1" s="4" t="s">
        <v>65</v>
      </c>
      <c r="BO1" s="4" t="s">
        <v>66</v>
      </c>
      <c r="BP1" s="4" t="s">
        <v>67</v>
      </c>
      <c r="BQ1" s="4" t="s">
        <v>68</v>
      </c>
      <c r="BR1" s="4" t="s">
        <v>69</v>
      </c>
      <c r="BS1" s="4" t="s">
        <v>70</v>
      </c>
      <c r="BT1" s="4" t="s">
        <v>71</v>
      </c>
      <c r="BU1" s="4" t="s">
        <v>72</v>
      </c>
      <c r="BV1" s="4" t="s">
        <v>73</v>
      </c>
      <c r="BW1" s="4" t="s">
        <v>74</v>
      </c>
      <c r="BX1" s="5" t="s">
        <v>75</v>
      </c>
    </row>
    <row r="2" spans="1:76" ht="15.7">
      <c r="A2" s="6" t="s">
        <v>76</v>
      </c>
      <c r="B2" s="7" t="s">
        <v>77</v>
      </c>
      <c r="C2" s="8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8" t="s">
        <v>78</v>
      </c>
      <c r="O2" s="8" t="s">
        <v>78</v>
      </c>
      <c r="P2" s="8" t="s">
        <v>78</v>
      </c>
      <c r="Q2" s="8" t="s">
        <v>78</v>
      </c>
      <c r="R2" s="6"/>
      <c r="S2" s="6"/>
      <c r="T2" s="6"/>
      <c r="U2" s="6"/>
      <c r="V2" s="6"/>
      <c r="W2" s="6"/>
      <c r="X2" s="6"/>
      <c r="Y2" s="8" t="s">
        <v>78</v>
      </c>
      <c r="Z2" s="8" t="s">
        <v>78</v>
      </c>
      <c r="AA2" s="6"/>
      <c r="AB2" s="8" t="s">
        <v>78</v>
      </c>
      <c r="AC2" s="6"/>
      <c r="AD2" s="6"/>
      <c r="AE2" s="8" t="s">
        <v>78</v>
      </c>
      <c r="AF2" s="6"/>
      <c r="AG2" s="8" t="s">
        <v>78</v>
      </c>
      <c r="AH2" s="6"/>
      <c r="AI2" s="6"/>
      <c r="AJ2" s="8" t="s">
        <v>78</v>
      </c>
      <c r="AK2" s="6"/>
      <c r="AL2" s="6"/>
      <c r="AM2" s="6"/>
      <c r="AN2" s="6"/>
      <c r="AO2" s="6"/>
      <c r="AP2" s="6"/>
      <c r="AQ2" s="6"/>
      <c r="AR2" s="8" t="s">
        <v>78</v>
      </c>
      <c r="AS2" s="6"/>
      <c r="AT2" s="6"/>
      <c r="AU2" s="6"/>
      <c r="AV2" s="6"/>
      <c r="AW2" s="8" t="s">
        <v>78</v>
      </c>
      <c r="AX2" s="6"/>
      <c r="AY2" s="6"/>
      <c r="AZ2" s="6"/>
      <c r="BA2" s="6"/>
      <c r="BB2" s="6"/>
      <c r="BC2" s="8" t="s">
        <v>78</v>
      </c>
      <c r="BD2" s="8" t="s">
        <v>78</v>
      </c>
      <c r="BE2" s="8" t="s">
        <v>78</v>
      </c>
      <c r="BF2" s="6"/>
      <c r="BG2" s="8" t="s">
        <v>78</v>
      </c>
      <c r="BH2" s="6"/>
      <c r="BI2" s="6"/>
      <c r="BJ2" s="8" t="s">
        <v>78</v>
      </c>
      <c r="BK2" s="6"/>
      <c r="BL2" s="6"/>
      <c r="BM2" s="6"/>
      <c r="BN2" s="6"/>
      <c r="BO2" s="6"/>
      <c r="BP2" s="8" t="s">
        <v>78</v>
      </c>
      <c r="BQ2" s="6"/>
      <c r="BR2" s="8" t="s">
        <v>78</v>
      </c>
      <c r="BS2" s="6"/>
      <c r="BT2" s="6"/>
      <c r="BU2" s="6"/>
      <c r="BV2" s="6"/>
      <c r="BW2" s="6"/>
      <c r="BX2" s="9">
        <f t="shared" ref="BX2:BX6" si="0">COUNTA(D2:BW2)</f>
        <v>19</v>
      </c>
    </row>
    <row r="3" spans="1:76" ht="15.7">
      <c r="A3" s="6" t="s">
        <v>79</v>
      </c>
      <c r="B3" s="7" t="s">
        <v>80</v>
      </c>
      <c r="C3" s="8" t="s">
        <v>2</v>
      </c>
      <c r="D3" s="6"/>
      <c r="E3" s="6"/>
      <c r="F3" s="6"/>
      <c r="G3" s="6"/>
      <c r="H3" s="6"/>
      <c r="I3" s="6"/>
      <c r="J3" s="6"/>
      <c r="K3" s="6"/>
      <c r="L3" s="6"/>
      <c r="M3" s="6"/>
      <c r="N3" s="8" t="s">
        <v>78</v>
      </c>
      <c r="O3" s="8" t="s">
        <v>78</v>
      </c>
      <c r="P3" s="8" t="s">
        <v>78</v>
      </c>
      <c r="Q3" s="8" t="s">
        <v>78</v>
      </c>
      <c r="R3" s="6"/>
      <c r="S3" s="6"/>
      <c r="T3" s="6"/>
      <c r="U3" s="6"/>
      <c r="V3" s="6"/>
      <c r="W3" s="6"/>
      <c r="X3" s="6"/>
      <c r="Y3" s="8" t="s">
        <v>78</v>
      </c>
      <c r="Z3" s="8" t="s">
        <v>78</v>
      </c>
      <c r="AA3" s="6"/>
      <c r="AB3" s="8" t="s">
        <v>78</v>
      </c>
      <c r="AC3" s="6"/>
      <c r="AD3" s="6"/>
      <c r="AE3" s="8" t="s">
        <v>78</v>
      </c>
      <c r="AF3" s="6"/>
      <c r="AG3" s="8" t="s">
        <v>78</v>
      </c>
      <c r="AH3" s="6"/>
      <c r="AI3" s="6"/>
      <c r="AJ3" s="8" t="s">
        <v>78</v>
      </c>
      <c r="AK3" s="6"/>
      <c r="AL3" s="6"/>
      <c r="AM3" s="6"/>
      <c r="AN3" s="6"/>
      <c r="AO3" s="6"/>
      <c r="AP3" s="6"/>
      <c r="AQ3" s="6"/>
      <c r="AR3" s="8" t="s">
        <v>78</v>
      </c>
      <c r="AS3" s="6"/>
      <c r="AT3" s="6"/>
      <c r="AU3" s="6"/>
      <c r="AV3" s="6"/>
      <c r="AW3" s="8" t="s">
        <v>78</v>
      </c>
      <c r="AX3" s="6"/>
      <c r="AY3" s="6"/>
      <c r="AZ3" s="6"/>
      <c r="BA3" s="6"/>
      <c r="BB3" s="6"/>
      <c r="BC3" s="8" t="s">
        <v>78</v>
      </c>
      <c r="BD3" s="8" t="s">
        <v>78</v>
      </c>
      <c r="BE3" s="8" t="s">
        <v>78</v>
      </c>
      <c r="BF3" s="6"/>
      <c r="BG3" s="8" t="s">
        <v>78</v>
      </c>
      <c r="BH3" s="6"/>
      <c r="BI3" s="6"/>
      <c r="BJ3" s="8" t="s">
        <v>78</v>
      </c>
      <c r="BK3" s="6"/>
      <c r="BL3" s="6"/>
      <c r="BM3" s="6"/>
      <c r="BN3" s="6"/>
      <c r="BO3" s="6"/>
      <c r="BP3" s="8" t="s">
        <v>78</v>
      </c>
      <c r="BQ3" s="6"/>
      <c r="BR3" s="8" t="s">
        <v>78</v>
      </c>
      <c r="BS3" s="6"/>
      <c r="BT3" s="6"/>
      <c r="BU3" s="6"/>
      <c r="BV3" s="6"/>
      <c r="BW3" s="6"/>
      <c r="BX3" s="9">
        <f t="shared" si="0"/>
        <v>19</v>
      </c>
    </row>
    <row r="4" spans="1:76" ht="15.7">
      <c r="A4" s="6" t="s">
        <v>81</v>
      </c>
      <c r="B4" s="7" t="s">
        <v>82</v>
      </c>
      <c r="C4" s="8" t="s">
        <v>2</v>
      </c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8" t="s">
        <v>78</v>
      </c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8" t="s">
        <v>78</v>
      </c>
      <c r="AS4" s="6"/>
      <c r="AT4" s="6"/>
      <c r="AU4" s="6"/>
      <c r="AV4" s="6"/>
      <c r="AW4" s="6"/>
      <c r="AX4" s="6"/>
      <c r="AY4" s="6"/>
      <c r="AZ4" s="6"/>
      <c r="BA4" s="6"/>
      <c r="BB4" s="6"/>
      <c r="BC4" s="8" t="s">
        <v>78</v>
      </c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9">
        <f t="shared" si="0"/>
        <v>3</v>
      </c>
    </row>
    <row r="5" spans="1:76" ht="15.7">
      <c r="A5" s="10" t="s">
        <v>83</v>
      </c>
      <c r="B5" s="7" t="s">
        <v>84</v>
      </c>
      <c r="C5" s="8" t="s">
        <v>2</v>
      </c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8" t="s">
        <v>78</v>
      </c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9">
        <f t="shared" si="0"/>
        <v>1</v>
      </c>
    </row>
    <row r="6" spans="1:76" ht="15.7">
      <c r="A6" s="6" t="s">
        <v>85</v>
      </c>
      <c r="B6" s="7" t="s">
        <v>86</v>
      </c>
      <c r="C6" s="8" t="s">
        <v>2</v>
      </c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8" t="s">
        <v>78</v>
      </c>
      <c r="AS6" s="6"/>
      <c r="AT6" s="6"/>
      <c r="AU6" s="6"/>
      <c r="AV6" s="6"/>
      <c r="AW6" s="6"/>
      <c r="AX6" s="6"/>
      <c r="AY6" s="6"/>
      <c r="AZ6" s="6"/>
      <c r="BA6" s="6"/>
      <c r="BB6" s="6"/>
      <c r="BC6" s="6"/>
      <c r="BD6" s="6"/>
      <c r="BE6" s="8" t="s">
        <v>78</v>
      </c>
      <c r="BF6" s="6"/>
      <c r="BG6" s="6"/>
      <c r="BH6" s="6"/>
      <c r="BI6" s="6"/>
      <c r="BJ6" s="6"/>
      <c r="BK6" s="6"/>
      <c r="BL6" s="6"/>
      <c r="BM6" s="6"/>
      <c r="BN6" s="6"/>
      <c r="BO6" s="6"/>
      <c r="BP6" s="6"/>
      <c r="BQ6" s="6"/>
      <c r="BR6" s="6"/>
      <c r="BS6" s="6"/>
      <c r="BT6" s="6"/>
      <c r="BU6" s="6"/>
      <c r="BV6" s="6"/>
      <c r="BW6" s="6"/>
      <c r="BX6" s="9">
        <f t="shared" si="0"/>
        <v>2</v>
      </c>
    </row>
    <row r="7" spans="1:76" ht="15.7">
      <c r="A7" s="6" t="s">
        <v>87</v>
      </c>
      <c r="B7" s="7" t="s">
        <v>88</v>
      </c>
      <c r="C7" s="8" t="s">
        <v>2</v>
      </c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  <c r="AZ7" s="6"/>
      <c r="BA7" s="6"/>
      <c r="BB7" s="6"/>
      <c r="BC7" s="6"/>
      <c r="BD7" s="6"/>
      <c r="BE7" s="6"/>
      <c r="BF7" s="6"/>
      <c r="BG7" s="6"/>
      <c r="BH7" s="6"/>
      <c r="BI7" s="6"/>
      <c r="BJ7" s="6"/>
      <c r="BK7" s="6"/>
      <c r="BL7" s="6"/>
      <c r="BM7" s="6"/>
      <c r="BN7" s="6"/>
      <c r="BO7" s="6"/>
      <c r="BP7" s="6"/>
      <c r="BQ7" s="6"/>
      <c r="BR7" s="6"/>
      <c r="BS7" s="6"/>
      <c r="BT7" s="6"/>
      <c r="BU7" s="6"/>
      <c r="BV7" s="6"/>
      <c r="BW7" s="6"/>
      <c r="BX7" s="11"/>
    </row>
    <row r="8" spans="1:76" ht="15.7">
      <c r="A8" s="6" t="s">
        <v>89</v>
      </c>
      <c r="B8" s="7" t="s">
        <v>90</v>
      </c>
      <c r="C8" s="8" t="s">
        <v>2</v>
      </c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8" t="s">
        <v>78</v>
      </c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  <c r="AZ8" s="6"/>
      <c r="BA8" s="6"/>
      <c r="BB8" s="6"/>
      <c r="BC8" s="6"/>
      <c r="BD8" s="6"/>
      <c r="BE8" s="6"/>
      <c r="BF8" s="6"/>
      <c r="BG8" s="6"/>
      <c r="BH8" s="6"/>
      <c r="BI8" s="6"/>
      <c r="BJ8" s="6"/>
      <c r="BK8" s="6"/>
      <c r="BL8" s="6"/>
      <c r="BM8" s="6"/>
      <c r="BN8" s="6"/>
      <c r="BO8" s="6"/>
      <c r="BP8" s="6"/>
      <c r="BQ8" s="6"/>
      <c r="BR8" s="6"/>
      <c r="BS8" s="6"/>
      <c r="BT8" s="6"/>
      <c r="BU8" s="6"/>
      <c r="BV8" s="6"/>
      <c r="BW8" s="6"/>
      <c r="BX8" s="9">
        <f t="shared" ref="BX8:BX11" si="1">COUNTA(D8:BW8)</f>
        <v>1</v>
      </c>
    </row>
    <row r="9" spans="1:76" ht="15.7">
      <c r="A9" s="6" t="s">
        <v>91</v>
      </c>
      <c r="B9" s="7" t="s">
        <v>92</v>
      </c>
      <c r="C9" s="6" t="s">
        <v>93</v>
      </c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8" t="s">
        <v>78</v>
      </c>
      <c r="Q9" s="6"/>
      <c r="R9" s="6"/>
      <c r="S9" s="6"/>
      <c r="T9" s="6"/>
      <c r="U9" s="6"/>
      <c r="V9" s="6"/>
      <c r="W9" s="6"/>
      <c r="X9" s="6"/>
      <c r="Y9" s="6"/>
      <c r="Z9" s="8" t="s">
        <v>78</v>
      </c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8" t="s">
        <v>78</v>
      </c>
      <c r="AS9" s="6"/>
      <c r="AT9" s="6"/>
      <c r="AU9" s="6"/>
      <c r="AV9" s="6"/>
      <c r="AW9" s="6"/>
      <c r="AX9" s="6"/>
      <c r="AY9" s="6"/>
      <c r="AZ9" s="6"/>
      <c r="BA9" s="6"/>
      <c r="BB9" s="6"/>
      <c r="BC9" s="6"/>
      <c r="BD9" s="6"/>
      <c r="BE9" s="6"/>
      <c r="BF9" s="6"/>
      <c r="BG9" s="6"/>
      <c r="BH9" s="6"/>
      <c r="BI9" s="6"/>
      <c r="BJ9" s="6"/>
      <c r="BK9" s="6"/>
      <c r="BL9" s="6"/>
      <c r="BM9" s="6"/>
      <c r="BN9" s="6"/>
      <c r="BO9" s="6"/>
      <c r="BP9" s="6"/>
      <c r="BQ9" s="6"/>
      <c r="BR9" s="6"/>
      <c r="BS9" s="6"/>
      <c r="BT9" s="6"/>
      <c r="BU9" s="6"/>
      <c r="BV9" s="6"/>
      <c r="BW9" s="6"/>
      <c r="BX9" s="9">
        <f t="shared" si="1"/>
        <v>3</v>
      </c>
    </row>
    <row r="10" spans="1:76" ht="15.7">
      <c r="A10" s="6" t="s">
        <v>94</v>
      </c>
      <c r="B10" s="7" t="s">
        <v>95</v>
      </c>
      <c r="C10" s="6" t="s">
        <v>93</v>
      </c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8" t="s">
        <v>78</v>
      </c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9">
        <f t="shared" si="1"/>
        <v>1</v>
      </c>
    </row>
    <row r="11" spans="1:76" ht="15.7">
      <c r="A11" s="6" t="s">
        <v>96</v>
      </c>
      <c r="B11" s="7" t="s">
        <v>97</v>
      </c>
      <c r="C11" s="6" t="s">
        <v>93</v>
      </c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  <c r="AZ11" s="6"/>
      <c r="BA11" s="6"/>
      <c r="BB11" s="6"/>
      <c r="BC11" s="6"/>
      <c r="BD11" s="6"/>
      <c r="BE11" s="6"/>
      <c r="BF11" s="6"/>
      <c r="BG11" s="6"/>
      <c r="BH11" s="6"/>
      <c r="BI11" s="6"/>
      <c r="BJ11" s="6"/>
      <c r="BK11" s="6"/>
      <c r="BL11" s="6"/>
      <c r="BM11" s="6"/>
      <c r="BN11" s="6"/>
      <c r="BO11" s="6"/>
      <c r="BP11" s="6"/>
      <c r="BQ11" s="6"/>
      <c r="BR11" s="6"/>
      <c r="BS11" s="6"/>
      <c r="BT11" s="6"/>
      <c r="BU11" s="6"/>
      <c r="BV11" s="6"/>
      <c r="BW11" s="6"/>
      <c r="BX11" s="9">
        <f t="shared" si="1"/>
        <v>0</v>
      </c>
    </row>
    <row r="12" spans="1:76" ht="15.7">
      <c r="A12" s="6" t="s">
        <v>98</v>
      </c>
      <c r="B12" s="7" t="s">
        <v>99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8" t="s">
        <v>78</v>
      </c>
      <c r="O12" s="6"/>
      <c r="P12" s="8" t="s">
        <v>78</v>
      </c>
      <c r="Q12" s="6"/>
      <c r="R12" s="6"/>
      <c r="S12" s="6"/>
      <c r="T12" s="6"/>
      <c r="U12" s="6"/>
      <c r="V12" s="6"/>
      <c r="W12" s="6"/>
      <c r="X12" s="6"/>
      <c r="Y12" s="8" t="s">
        <v>78</v>
      </c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8" t="s">
        <v>78</v>
      </c>
      <c r="AS12" s="6"/>
      <c r="AT12" s="6"/>
      <c r="AU12" s="6"/>
      <c r="AV12" s="6"/>
      <c r="AW12" s="6"/>
      <c r="AX12" s="8" t="s">
        <v>78</v>
      </c>
      <c r="AY12" s="6"/>
      <c r="AZ12" s="6"/>
      <c r="BA12" s="6"/>
      <c r="BB12" s="6"/>
      <c r="BC12" s="6"/>
      <c r="BD12" s="6"/>
      <c r="BE12" s="8" t="s">
        <v>78</v>
      </c>
      <c r="BF12" s="6"/>
      <c r="BG12" s="6"/>
      <c r="BH12" s="6"/>
      <c r="BI12" s="6"/>
      <c r="BJ12" s="6"/>
      <c r="BK12" s="6"/>
      <c r="BL12" s="6"/>
      <c r="BM12" s="6"/>
      <c r="BN12" s="6"/>
      <c r="BO12" s="6"/>
      <c r="BP12" s="6"/>
      <c r="BQ12" s="6"/>
      <c r="BR12" s="6"/>
      <c r="BS12" s="6"/>
      <c r="BT12" s="6"/>
      <c r="BU12" s="6"/>
      <c r="BV12" s="6"/>
      <c r="BW12" s="6"/>
      <c r="BX12" s="11"/>
    </row>
    <row r="13" spans="1:76" ht="15.7">
      <c r="A13" s="6" t="s">
        <v>100</v>
      </c>
      <c r="B13" s="7" t="s">
        <v>101</v>
      </c>
      <c r="C13" s="8" t="s">
        <v>2</v>
      </c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8" t="s">
        <v>78</v>
      </c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8" t="s">
        <v>78</v>
      </c>
      <c r="AS13" s="6"/>
      <c r="AT13" s="6"/>
      <c r="AU13" s="6"/>
      <c r="AV13" s="6"/>
      <c r="AW13" s="6"/>
      <c r="AX13" s="6"/>
      <c r="AY13" s="6"/>
      <c r="AZ13" s="6"/>
      <c r="BA13" s="6"/>
      <c r="BB13" s="6"/>
      <c r="BC13" s="6"/>
      <c r="BD13" s="6"/>
      <c r="BE13" s="6"/>
      <c r="BF13" s="6"/>
      <c r="BG13" s="6"/>
      <c r="BH13" s="6"/>
      <c r="BI13" s="6"/>
      <c r="BJ13" s="6"/>
      <c r="BK13" s="6"/>
      <c r="BL13" s="6"/>
      <c r="BM13" s="6"/>
      <c r="BN13" s="6"/>
      <c r="BO13" s="6"/>
      <c r="BP13" s="6"/>
      <c r="BQ13" s="6"/>
      <c r="BR13" s="6"/>
      <c r="BS13" s="6"/>
      <c r="BT13" s="6"/>
      <c r="BU13" s="6"/>
      <c r="BV13" s="6"/>
      <c r="BW13" s="6"/>
      <c r="BX13" s="9">
        <f t="shared" ref="BX13:BX31" si="2">COUNTA(D13:BW13)</f>
        <v>2</v>
      </c>
    </row>
    <row r="14" spans="1:76" ht="15.7">
      <c r="A14" s="6" t="s">
        <v>102</v>
      </c>
      <c r="B14" s="7" t="s">
        <v>103</v>
      </c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  <c r="AZ14" s="6"/>
      <c r="BA14" s="6"/>
      <c r="BB14" s="6"/>
      <c r="BC14" s="6"/>
      <c r="BD14" s="6"/>
      <c r="BE14" s="6"/>
      <c r="BF14" s="6"/>
      <c r="BG14" s="6"/>
      <c r="BH14" s="6"/>
      <c r="BI14" s="6"/>
      <c r="BJ14" s="6"/>
      <c r="BK14" s="6"/>
      <c r="BL14" s="6"/>
      <c r="BM14" s="6"/>
      <c r="BN14" s="6"/>
      <c r="BO14" s="6"/>
      <c r="BP14" s="6"/>
      <c r="BQ14" s="6"/>
      <c r="BR14" s="6"/>
      <c r="BS14" s="6"/>
      <c r="BT14" s="6"/>
      <c r="BU14" s="6"/>
      <c r="BV14" s="8" t="s">
        <v>78</v>
      </c>
      <c r="BW14" s="6"/>
      <c r="BX14" s="9">
        <f t="shared" si="2"/>
        <v>1</v>
      </c>
    </row>
    <row r="15" spans="1:76" ht="15.7">
      <c r="A15" s="6" t="s">
        <v>104</v>
      </c>
      <c r="B15" s="7" t="s">
        <v>105</v>
      </c>
      <c r="C15" s="6"/>
      <c r="D15" s="6"/>
      <c r="E15" s="6"/>
      <c r="F15" s="6"/>
      <c r="G15" s="6"/>
      <c r="H15" s="8" t="s">
        <v>78</v>
      </c>
      <c r="I15" s="6"/>
      <c r="J15" s="6"/>
      <c r="K15" s="8" t="s">
        <v>78</v>
      </c>
      <c r="L15" s="6"/>
      <c r="M15" s="6"/>
      <c r="N15" s="6"/>
      <c r="O15" s="6"/>
      <c r="P15" s="6"/>
      <c r="Q15" s="6"/>
      <c r="R15" s="8" t="s">
        <v>78</v>
      </c>
      <c r="S15" s="6"/>
      <c r="T15" s="6"/>
      <c r="U15" s="6"/>
      <c r="V15" s="6"/>
      <c r="W15" s="8" t="s">
        <v>78</v>
      </c>
      <c r="X15" s="6"/>
      <c r="Y15" s="6"/>
      <c r="Z15" s="6"/>
      <c r="AA15" s="8" t="s">
        <v>78</v>
      </c>
      <c r="AB15" s="6"/>
      <c r="AC15" s="6"/>
      <c r="AD15" s="6"/>
      <c r="AE15" s="6"/>
      <c r="AF15" s="6"/>
      <c r="AG15" s="6"/>
      <c r="AH15" s="8" t="s">
        <v>78</v>
      </c>
      <c r="AI15" s="6"/>
      <c r="AJ15" s="6"/>
      <c r="AK15" s="8" t="s">
        <v>78</v>
      </c>
      <c r="AL15" s="8" t="s">
        <v>78</v>
      </c>
      <c r="AM15" s="8" t="s">
        <v>78</v>
      </c>
      <c r="AN15" s="8" t="s">
        <v>78</v>
      </c>
      <c r="AO15" s="6"/>
      <c r="AP15" s="8" t="s">
        <v>78</v>
      </c>
      <c r="AQ15" s="8" t="s">
        <v>78</v>
      </c>
      <c r="AR15" s="6"/>
      <c r="AS15" s="6"/>
      <c r="AT15" s="8" t="s">
        <v>78</v>
      </c>
      <c r="AU15" s="6"/>
      <c r="AV15" s="6"/>
      <c r="AW15" s="6"/>
      <c r="AX15" s="6"/>
      <c r="AY15" s="6"/>
      <c r="AZ15" s="6"/>
      <c r="BA15" s="8" t="s">
        <v>78</v>
      </c>
      <c r="BB15" s="6"/>
      <c r="BC15" s="6"/>
      <c r="BD15" s="6"/>
      <c r="BE15" s="6"/>
      <c r="BF15" s="6"/>
      <c r="BG15" s="6"/>
      <c r="BH15" s="6"/>
      <c r="BI15" s="8" t="s">
        <v>78</v>
      </c>
      <c r="BJ15" s="6"/>
      <c r="BK15" s="6"/>
      <c r="BL15" s="6"/>
      <c r="BM15" s="6"/>
      <c r="BN15" s="6"/>
      <c r="BO15" s="6"/>
      <c r="BP15" s="6"/>
      <c r="BQ15" s="6"/>
      <c r="BR15" s="6"/>
      <c r="BS15" s="6"/>
      <c r="BT15" s="8" t="s">
        <v>78</v>
      </c>
      <c r="BU15" s="8" t="s">
        <v>78</v>
      </c>
      <c r="BV15" s="8" t="s">
        <v>78</v>
      </c>
      <c r="BW15" s="8" t="s">
        <v>78</v>
      </c>
      <c r="BX15" s="9">
        <f t="shared" si="2"/>
        <v>19</v>
      </c>
    </row>
    <row r="16" spans="1:76" ht="15.7">
      <c r="A16" s="6" t="s">
        <v>106</v>
      </c>
      <c r="B16" s="7" t="s">
        <v>107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8" t="s">
        <v>78</v>
      </c>
      <c r="AF16" s="6"/>
      <c r="AG16" s="8" t="s">
        <v>78</v>
      </c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8" t="s">
        <v>78</v>
      </c>
      <c r="AS16" s="6"/>
      <c r="AT16" s="6"/>
      <c r="AU16" s="6"/>
      <c r="AV16" s="6"/>
      <c r="AW16" s="8" t="s">
        <v>78</v>
      </c>
      <c r="AX16" s="6"/>
      <c r="AY16" s="6"/>
      <c r="AZ16" s="6"/>
      <c r="BA16" s="6"/>
      <c r="BB16" s="6"/>
      <c r="BC16" s="8" t="s">
        <v>78</v>
      </c>
      <c r="BD16" s="6"/>
      <c r="BE16" s="6"/>
      <c r="BF16" s="6"/>
      <c r="BG16" s="6"/>
      <c r="BH16" s="6"/>
      <c r="BI16" s="6"/>
      <c r="BJ16" s="8" t="s">
        <v>78</v>
      </c>
      <c r="BK16" s="6"/>
      <c r="BL16" s="6"/>
      <c r="BM16" s="6"/>
      <c r="BN16" s="6"/>
      <c r="BO16" s="6"/>
      <c r="BP16" s="6"/>
      <c r="BQ16" s="6"/>
      <c r="BR16" s="8" t="s">
        <v>78</v>
      </c>
      <c r="BS16" s="8" t="s">
        <v>78</v>
      </c>
      <c r="BT16" s="6"/>
      <c r="BU16" s="6"/>
      <c r="BV16" s="6"/>
      <c r="BW16" s="6"/>
      <c r="BX16" s="9">
        <f t="shared" si="2"/>
        <v>8</v>
      </c>
    </row>
    <row r="17" spans="1:76" ht="15.7">
      <c r="A17" s="6" t="s">
        <v>108</v>
      </c>
      <c r="B17" s="7" t="s">
        <v>109</v>
      </c>
      <c r="C17" s="6"/>
      <c r="D17" s="8" t="s">
        <v>78</v>
      </c>
      <c r="E17" s="6"/>
      <c r="F17" s="6"/>
      <c r="G17" s="6"/>
      <c r="H17" s="6"/>
      <c r="I17" s="8" t="s">
        <v>78</v>
      </c>
      <c r="J17" s="6"/>
      <c r="K17" s="6"/>
      <c r="L17" s="6"/>
      <c r="M17" s="6"/>
      <c r="N17" s="8" t="s">
        <v>78</v>
      </c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8" t="s">
        <v>78</v>
      </c>
      <c r="AH17" s="6"/>
      <c r="AI17" s="8" t="s">
        <v>78</v>
      </c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  <c r="AZ17" s="6"/>
      <c r="BA17" s="6"/>
      <c r="BB17" s="6"/>
      <c r="BC17" s="6"/>
      <c r="BD17" s="6"/>
      <c r="BE17" s="6"/>
      <c r="BF17" s="6"/>
      <c r="BG17" s="6"/>
      <c r="BH17" s="6"/>
      <c r="BI17" s="6"/>
      <c r="BJ17" s="6"/>
      <c r="BK17" s="6"/>
      <c r="BL17" s="6"/>
      <c r="BM17" s="8" t="s">
        <v>78</v>
      </c>
      <c r="BN17" s="8" t="s">
        <v>78</v>
      </c>
      <c r="BO17" s="6"/>
      <c r="BP17" s="6"/>
      <c r="BQ17" s="6"/>
      <c r="BR17" s="6"/>
      <c r="BS17" s="6"/>
      <c r="BT17" s="6"/>
      <c r="BU17" s="6"/>
      <c r="BV17" s="6"/>
      <c r="BW17" s="6"/>
      <c r="BX17" s="9">
        <f t="shared" si="2"/>
        <v>7</v>
      </c>
    </row>
    <row r="18" spans="1:76" ht="15.7">
      <c r="A18" s="6" t="s">
        <v>110</v>
      </c>
      <c r="B18" s="7" t="s">
        <v>111</v>
      </c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  <c r="AZ18" s="6"/>
      <c r="BA18" s="6"/>
      <c r="BB18" s="6"/>
      <c r="BC18" s="6"/>
      <c r="BD18" s="6"/>
      <c r="BE18" s="6"/>
      <c r="BF18" s="6"/>
      <c r="BG18" s="6"/>
      <c r="BH18" s="6"/>
      <c r="BI18" s="6"/>
      <c r="BJ18" s="6"/>
      <c r="BK18" s="6"/>
      <c r="BL18" s="6"/>
      <c r="BM18" s="6"/>
      <c r="BN18" s="6"/>
      <c r="BO18" s="6"/>
      <c r="BP18" s="6"/>
      <c r="BQ18" s="6"/>
      <c r="BR18" s="6"/>
      <c r="BS18" s="6"/>
      <c r="BT18" s="6"/>
      <c r="BU18" s="6"/>
      <c r="BV18" s="6"/>
      <c r="BW18" s="6"/>
      <c r="BX18" s="9">
        <f t="shared" si="2"/>
        <v>0</v>
      </c>
    </row>
    <row r="19" spans="1:76" ht="15.7">
      <c r="A19" s="6" t="s">
        <v>112</v>
      </c>
      <c r="B19" s="7" t="s">
        <v>113</v>
      </c>
      <c r="C19" s="6"/>
      <c r="D19" s="6"/>
      <c r="E19" s="8" t="s">
        <v>78</v>
      </c>
      <c r="F19" s="8" t="s">
        <v>78</v>
      </c>
      <c r="G19" s="8" t="s">
        <v>78</v>
      </c>
      <c r="H19" s="6"/>
      <c r="I19" s="8" t="s">
        <v>78</v>
      </c>
      <c r="J19" s="8" t="s">
        <v>78</v>
      </c>
      <c r="K19" s="6"/>
      <c r="L19" s="8" t="s">
        <v>78</v>
      </c>
      <c r="M19" s="8" t="s">
        <v>78</v>
      </c>
      <c r="N19" s="6"/>
      <c r="O19" s="6"/>
      <c r="P19" s="6"/>
      <c r="Q19" s="6"/>
      <c r="R19" s="6"/>
      <c r="S19" s="8" t="s">
        <v>78</v>
      </c>
      <c r="T19" s="8" t="s">
        <v>78</v>
      </c>
      <c r="U19" s="6"/>
      <c r="V19" s="6"/>
      <c r="W19" s="6"/>
      <c r="X19" s="6"/>
      <c r="Y19" s="6"/>
      <c r="Z19" s="6"/>
      <c r="AA19" s="6"/>
      <c r="AB19" s="6"/>
      <c r="AC19" s="6"/>
      <c r="AD19" s="8" t="s">
        <v>78</v>
      </c>
      <c r="AE19" s="6"/>
      <c r="AF19" s="6"/>
      <c r="AG19" s="6"/>
      <c r="AH19" s="6"/>
      <c r="AI19" s="6"/>
      <c r="AJ19" s="6"/>
      <c r="AK19" s="6"/>
      <c r="AL19" s="6"/>
      <c r="AM19" s="6"/>
      <c r="AN19" s="8" t="s">
        <v>78</v>
      </c>
      <c r="AO19" s="6"/>
      <c r="AP19" s="6"/>
      <c r="AQ19" s="6"/>
      <c r="AR19" s="6"/>
      <c r="AS19" s="6"/>
      <c r="AT19" s="6"/>
      <c r="AU19" s="6"/>
      <c r="AV19" s="6"/>
      <c r="AW19" s="6"/>
      <c r="AX19" s="8" t="s">
        <v>78</v>
      </c>
      <c r="AY19" s="6"/>
      <c r="AZ19" s="6"/>
      <c r="BA19" s="6"/>
      <c r="BB19" s="8" t="s">
        <v>78</v>
      </c>
      <c r="BC19" s="6"/>
      <c r="BD19" s="6"/>
      <c r="BE19" s="6"/>
      <c r="BF19" s="8" t="s">
        <v>78</v>
      </c>
      <c r="BG19" s="6"/>
      <c r="BH19" s="6"/>
      <c r="BI19" s="6"/>
      <c r="BJ19" s="6"/>
      <c r="BK19" s="8" t="s">
        <v>78</v>
      </c>
      <c r="BL19" s="8" t="s">
        <v>78</v>
      </c>
      <c r="BM19" s="8" t="s">
        <v>78</v>
      </c>
      <c r="BN19" s="6"/>
      <c r="BO19" s="6"/>
      <c r="BP19" s="6"/>
      <c r="BQ19" s="6"/>
      <c r="BR19" s="8" t="s">
        <v>78</v>
      </c>
      <c r="BS19" s="6"/>
      <c r="BT19" s="6"/>
      <c r="BU19" s="6"/>
      <c r="BV19" s="6"/>
      <c r="BW19" s="8" t="s">
        <v>78</v>
      </c>
      <c r="BX19" s="9">
        <f t="shared" si="2"/>
        <v>19</v>
      </c>
    </row>
    <row r="20" spans="1:76" ht="15.7">
      <c r="A20" s="6" t="s">
        <v>114</v>
      </c>
      <c r="B20" s="7" t="s">
        <v>115</v>
      </c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8" t="s">
        <v>78</v>
      </c>
      <c r="P20" s="8" t="s">
        <v>78</v>
      </c>
      <c r="Q20" s="8" t="s">
        <v>78</v>
      </c>
      <c r="R20" s="6"/>
      <c r="S20" s="6"/>
      <c r="T20" s="6"/>
      <c r="U20" s="6"/>
      <c r="V20" s="6"/>
      <c r="W20" s="6"/>
      <c r="X20" s="6"/>
      <c r="Y20" s="8" t="s">
        <v>78</v>
      </c>
      <c r="Z20" s="8" t="s">
        <v>78</v>
      </c>
      <c r="AA20" s="6"/>
      <c r="AB20" s="8" t="s">
        <v>78</v>
      </c>
      <c r="AC20" s="6"/>
      <c r="AD20" s="6"/>
      <c r="AE20" s="8" t="s">
        <v>78</v>
      </c>
      <c r="AF20" s="6"/>
      <c r="AG20" s="6"/>
      <c r="AH20" s="6"/>
      <c r="AI20" s="6"/>
      <c r="AJ20" s="8" t="s">
        <v>78</v>
      </c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  <c r="AZ20" s="6"/>
      <c r="BA20" s="6"/>
      <c r="BB20" s="6"/>
      <c r="BC20" s="6"/>
      <c r="BD20" s="8" t="s">
        <v>78</v>
      </c>
      <c r="BE20" s="8" t="s">
        <v>78</v>
      </c>
      <c r="BF20" s="6"/>
      <c r="BG20" s="8" t="s">
        <v>78</v>
      </c>
      <c r="BH20" s="6"/>
      <c r="BI20" s="6"/>
      <c r="BJ20" s="6"/>
      <c r="BK20" s="6"/>
      <c r="BL20" s="6"/>
      <c r="BM20" s="6"/>
      <c r="BN20" s="6"/>
      <c r="BO20" s="6"/>
      <c r="BP20" s="8" t="s">
        <v>78</v>
      </c>
      <c r="BQ20" s="6"/>
      <c r="BR20" s="6"/>
      <c r="BS20" s="6"/>
      <c r="BT20" s="6"/>
      <c r="BU20" s="6"/>
      <c r="BV20" s="6"/>
      <c r="BW20" s="6"/>
      <c r="BX20" s="9">
        <f t="shared" si="2"/>
        <v>12</v>
      </c>
    </row>
    <row r="21" spans="1:76" ht="15.7">
      <c r="A21" s="6" t="s">
        <v>116</v>
      </c>
      <c r="B21" s="7" t="s">
        <v>117</v>
      </c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8" t="s">
        <v>78</v>
      </c>
      <c r="O21" s="8" t="s">
        <v>78</v>
      </c>
      <c r="P21" s="8" t="s">
        <v>78</v>
      </c>
      <c r="Q21" s="8" t="s">
        <v>78</v>
      </c>
      <c r="R21" s="6"/>
      <c r="S21" s="6"/>
      <c r="T21" s="6"/>
      <c r="U21" s="6"/>
      <c r="V21" s="6"/>
      <c r="W21" s="6"/>
      <c r="X21" s="6"/>
      <c r="Y21" s="8" t="s">
        <v>78</v>
      </c>
      <c r="Z21" s="8" t="s">
        <v>78</v>
      </c>
      <c r="AA21" s="6"/>
      <c r="AB21" s="8" t="s">
        <v>78</v>
      </c>
      <c r="AC21" s="6"/>
      <c r="AD21" s="6"/>
      <c r="AE21" s="8" t="s">
        <v>78</v>
      </c>
      <c r="AF21" s="6"/>
      <c r="AG21" s="8" t="s">
        <v>78</v>
      </c>
      <c r="AH21" s="6"/>
      <c r="AI21" s="6"/>
      <c r="AJ21" s="8" t="s">
        <v>78</v>
      </c>
      <c r="AK21" s="6"/>
      <c r="AL21" s="6"/>
      <c r="AM21" s="6"/>
      <c r="AN21" s="6"/>
      <c r="AO21" s="6"/>
      <c r="AP21" s="6"/>
      <c r="AQ21" s="6"/>
      <c r="AR21" s="8" t="s">
        <v>78</v>
      </c>
      <c r="AS21" s="6"/>
      <c r="AT21" s="6"/>
      <c r="AU21" s="6"/>
      <c r="AV21" s="6"/>
      <c r="AW21" s="8" t="s">
        <v>78</v>
      </c>
      <c r="AX21" s="6"/>
      <c r="AY21" s="6"/>
      <c r="AZ21" s="6"/>
      <c r="BA21" s="6"/>
      <c r="BB21" s="6"/>
      <c r="BC21" s="8" t="s">
        <v>78</v>
      </c>
      <c r="BD21" s="8" t="s">
        <v>78</v>
      </c>
      <c r="BE21" s="8" t="s">
        <v>78</v>
      </c>
      <c r="BF21" s="6"/>
      <c r="BG21" s="8" t="s">
        <v>78</v>
      </c>
      <c r="BH21" s="6"/>
      <c r="BI21" s="6"/>
      <c r="BJ21" s="6"/>
      <c r="BK21" s="6"/>
      <c r="BL21" s="6"/>
      <c r="BM21" s="6"/>
      <c r="BN21" s="6"/>
      <c r="BO21" s="6"/>
      <c r="BP21" s="8" t="s">
        <v>78</v>
      </c>
      <c r="BQ21" s="6"/>
      <c r="BR21" s="8" t="s">
        <v>78</v>
      </c>
      <c r="BS21" s="6"/>
      <c r="BT21" s="6"/>
      <c r="BU21" s="6"/>
      <c r="BV21" s="6"/>
      <c r="BW21" s="6"/>
      <c r="BX21" s="9">
        <f t="shared" si="2"/>
        <v>18</v>
      </c>
    </row>
    <row r="22" spans="1:76" ht="15.7">
      <c r="A22" s="6" t="s">
        <v>118</v>
      </c>
      <c r="B22" s="7" t="s">
        <v>119</v>
      </c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8" t="s">
        <v>78</v>
      </c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  <c r="AZ22" s="6"/>
      <c r="BA22" s="6"/>
      <c r="BB22" s="6"/>
      <c r="BC22" s="6"/>
      <c r="BD22" s="6"/>
      <c r="BE22" s="6"/>
      <c r="BF22" s="6"/>
      <c r="BG22" s="6"/>
      <c r="BH22" s="6"/>
      <c r="BI22" s="6"/>
      <c r="BJ22" s="6"/>
      <c r="BK22" s="6"/>
      <c r="BL22" s="6"/>
      <c r="BM22" s="6"/>
      <c r="BN22" s="6"/>
      <c r="BO22" s="6"/>
      <c r="BP22" s="6"/>
      <c r="BQ22" s="6"/>
      <c r="BR22" s="6"/>
      <c r="BS22" s="6"/>
      <c r="BT22" s="6"/>
      <c r="BU22" s="6"/>
      <c r="BV22" s="6"/>
      <c r="BW22" s="6"/>
      <c r="BX22" s="9">
        <f t="shared" si="2"/>
        <v>1</v>
      </c>
    </row>
    <row r="23" spans="1:76" ht="15.7">
      <c r="A23" s="6" t="s">
        <v>120</v>
      </c>
      <c r="B23" s="7" t="s">
        <v>121</v>
      </c>
      <c r="C23" s="8" t="s">
        <v>2</v>
      </c>
      <c r="D23" s="6"/>
      <c r="E23" s="6"/>
      <c r="F23" s="6"/>
      <c r="G23" s="6"/>
      <c r="H23" s="6"/>
      <c r="I23" s="6"/>
      <c r="J23" s="6"/>
      <c r="K23" s="6"/>
      <c r="L23" s="6"/>
      <c r="M23" s="6"/>
      <c r="N23" s="8" t="s">
        <v>78</v>
      </c>
      <c r="O23" s="8" t="s">
        <v>78</v>
      </c>
      <c r="P23" s="8" t="s">
        <v>78</v>
      </c>
      <c r="Q23" s="8" t="s">
        <v>78</v>
      </c>
      <c r="R23" s="6"/>
      <c r="S23" s="6"/>
      <c r="T23" s="6"/>
      <c r="U23" s="6"/>
      <c r="V23" s="6"/>
      <c r="W23" s="6"/>
      <c r="X23" s="6"/>
      <c r="Y23" s="8" t="s">
        <v>78</v>
      </c>
      <c r="Z23" s="8" t="s">
        <v>78</v>
      </c>
      <c r="AA23" s="6"/>
      <c r="AB23" s="8" t="s">
        <v>78</v>
      </c>
      <c r="AC23" s="6"/>
      <c r="AD23" s="6"/>
      <c r="AE23" s="8" t="s">
        <v>78</v>
      </c>
      <c r="AF23" s="6"/>
      <c r="AG23" s="8" t="s">
        <v>78</v>
      </c>
      <c r="AH23" s="6"/>
      <c r="AI23" s="6"/>
      <c r="AJ23" s="8" t="s">
        <v>78</v>
      </c>
      <c r="AK23" s="6"/>
      <c r="AL23" s="6"/>
      <c r="AM23" s="6"/>
      <c r="AN23" s="6"/>
      <c r="AO23" s="6"/>
      <c r="AP23" s="6"/>
      <c r="AQ23" s="6"/>
      <c r="AR23" s="8" t="s">
        <v>78</v>
      </c>
      <c r="AS23" s="6"/>
      <c r="AT23" s="6"/>
      <c r="AU23" s="6"/>
      <c r="AV23" s="6"/>
      <c r="AW23" s="8" t="s">
        <v>78</v>
      </c>
      <c r="AX23" s="6"/>
      <c r="AY23" s="6"/>
      <c r="AZ23" s="6"/>
      <c r="BA23" s="6"/>
      <c r="BB23" s="6"/>
      <c r="BC23" s="8" t="s">
        <v>78</v>
      </c>
      <c r="BD23" s="8" t="s">
        <v>78</v>
      </c>
      <c r="BE23" s="8" t="s">
        <v>78</v>
      </c>
      <c r="BF23" s="6"/>
      <c r="BG23" s="8" t="s">
        <v>78</v>
      </c>
      <c r="BH23" s="6"/>
      <c r="BI23" s="6"/>
      <c r="BJ23" s="8" t="s">
        <v>78</v>
      </c>
      <c r="BK23" s="6"/>
      <c r="BL23" s="6"/>
      <c r="BM23" s="6"/>
      <c r="BN23" s="6"/>
      <c r="BO23" s="6"/>
      <c r="BP23" s="8" t="s">
        <v>78</v>
      </c>
      <c r="BQ23" s="6"/>
      <c r="BR23" s="8" t="s">
        <v>78</v>
      </c>
      <c r="BS23" s="6"/>
      <c r="BT23" s="6"/>
      <c r="BU23" s="6"/>
      <c r="BV23" s="6"/>
      <c r="BW23" s="6"/>
      <c r="BX23" s="9">
        <f t="shared" si="2"/>
        <v>19</v>
      </c>
    </row>
    <row r="24" spans="1:76" ht="15.7">
      <c r="A24" s="6" t="s">
        <v>122</v>
      </c>
      <c r="B24" s="7" t="s">
        <v>123</v>
      </c>
      <c r="C24" s="8" t="s">
        <v>2</v>
      </c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8" t="s">
        <v>78</v>
      </c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8" t="s">
        <v>78</v>
      </c>
      <c r="AS24" s="6"/>
      <c r="AT24" s="6"/>
      <c r="AU24" s="6"/>
      <c r="AV24" s="8" t="s">
        <v>78</v>
      </c>
      <c r="AW24" s="6"/>
      <c r="AX24" s="6"/>
      <c r="AY24" s="6"/>
      <c r="AZ24" s="6"/>
      <c r="BA24" s="6"/>
      <c r="BB24" s="6"/>
      <c r="BC24" s="6"/>
      <c r="BD24" s="6"/>
      <c r="BE24" s="6"/>
      <c r="BF24" s="6"/>
      <c r="BG24" s="6"/>
      <c r="BH24" s="6"/>
      <c r="BI24" s="6"/>
      <c r="BJ24" s="6"/>
      <c r="BK24" s="6"/>
      <c r="BL24" s="6"/>
      <c r="BM24" s="6"/>
      <c r="BN24" s="6"/>
      <c r="BO24" s="6"/>
      <c r="BP24" s="6"/>
      <c r="BQ24" s="6"/>
      <c r="BR24" s="8" t="s">
        <v>78</v>
      </c>
      <c r="BS24" s="6"/>
      <c r="BT24" s="6"/>
      <c r="BU24" s="6"/>
      <c r="BV24" s="6"/>
      <c r="BW24" s="6"/>
      <c r="BX24" s="9">
        <f t="shared" si="2"/>
        <v>4</v>
      </c>
    </row>
    <row r="25" spans="1:76" ht="15.7">
      <c r="A25" s="6" t="s">
        <v>124</v>
      </c>
      <c r="B25" s="7" t="s">
        <v>125</v>
      </c>
      <c r="C25" s="8" t="s">
        <v>2</v>
      </c>
      <c r="D25" s="6"/>
      <c r="E25" s="6"/>
      <c r="F25" s="6"/>
      <c r="G25" s="6"/>
      <c r="H25" s="6"/>
      <c r="I25" s="6"/>
      <c r="J25" s="6"/>
      <c r="K25" s="6"/>
      <c r="L25" s="6"/>
      <c r="M25" s="6"/>
      <c r="N25" s="8" t="s">
        <v>78</v>
      </c>
      <c r="O25" s="8" t="s">
        <v>78</v>
      </c>
      <c r="P25" s="8" t="s">
        <v>78</v>
      </c>
      <c r="Q25" s="8" t="s">
        <v>78</v>
      </c>
      <c r="R25" s="6"/>
      <c r="S25" s="6"/>
      <c r="T25" s="6"/>
      <c r="U25" s="6"/>
      <c r="V25" s="6"/>
      <c r="W25" s="6"/>
      <c r="X25" s="6"/>
      <c r="Y25" s="8" t="s">
        <v>78</v>
      </c>
      <c r="Z25" s="8" t="s">
        <v>78</v>
      </c>
      <c r="AA25" s="6"/>
      <c r="AB25" s="8" t="s">
        <v>78</v>
      </c>
      <c r="AC25" s="6"/>
      <c r="AD25" s="6"/>
      <c r="AE25" s="8" t="s">
        <v>78</v>
      </c>
      <c r="AF25" s="6"/>
      <c r="AG25" s="8" t="s">
        <v>78</v>
      </c>
      <c r="AH25" s="6"/>
      <c r="AI25" s="6"/>
      <c r="AJ25" s="8" t="s">
        <v>78</v>
      </c>
      <c r="AK25" s="6"/>
      <c r="AL25" s="6"/>
      <c r="AM25" s="6"/>
      <c r="AN25" s="6"/>
      <c r="AO25" s="6"/>
      <c r="AP25" s="6"/>
      <c r="AQ25" s="6"/>
      <c r="AR25" s="8" t="s">
        <v>78</v>
      </c>
      <c r="AS25" s="6"/>
      <c r="AT25" s="6"/>
      <c r="AU25" s="6"/>
      <c r="AV25" s="6"/>
      <c r="AW25" s="8" t="s">
        <v>78</v>
      </c>
      <c r="AX25" s="6"/>
      <c r="AY25" s="6"/>
      <c r="AZ25" s="6"/>
      <c r="BA25" s="6"/>
      <c r="BB25" s="6"/>
      <c r="BC25" s="8" t="s">
        <v>78</v>
      </c>
      <c r="BD25" s="8" t="s">
        <v>78</v>
      </c>
      <c r="BE25" s="8" t="s">
        <v>78</v>
      </c>
      <c r="BF25" s="6"/>
      <c r="BG25" s="8" t="s">
        <v>78</v>
      </c>
      <c r="BH25" s="6"/>
      <c r="BI25" s="6"/>
      <c r="BJ25" s="8" t="s">
        <v>78</v>
      </c>
      <c r="BK25" s="6"/>
      <c r="BL25" s="6"/>
      <c r="BM25" s="6"/>
      <c r="BN25" s="6"/>
      <c r="BO25" s="6"/>
      <c r="BP25" s="8" t="s">
        <v>78</v>
      </c>
      <c r="BQ25" s="6"/>
      <c r="BR25" s="8" t="s">
        <v>78</v>
      </c>
      <c r="BS25" s="6"/>
      <c r="BT25" s="6"/>
      <c r="BU25" s="6"/>
      <c r="BV25" s="6"/>
      <c r="BW25" s="6"/>
      <c r="BX25" s="9">
        <f t="shared" si="2"/>
        <v>19</v>
      </c>
    </row>
    <row r="26" spans="1:76" ht="15.7">
      <c r="A26" s="6" t="s">
        <v>126</v>
      </c>
      <c r="B26" s="7" t="s">
        <v>127</v>
      </c>
      <c r="C26" s="8" t="s">
        <v>2</v>
      </c>
      <c r="D26" s="6"/>
      <c r="E26" s="6"/>
      <c r="F26" s="6"/>
      <c r="G26" s="6"/>
      <c r="H26" s="6"/>
      <c r="I26" s="6"/>
      <c r="J26" s="6"/>
      <c r="K26" s="6"/>
      <c r="L26" s="6"/>
      <c r="M26" s="6"/>
      <c r="N26" s="8" t="s">
        <v>78</v>
      </c>
      <c r="O26" s="8" t="s">
        <v>78</v>
      </c>
      <c r="P26" s="8" t="s">
        <v>78</v>
      </c>
      <c r="Q26" s="8" t="s">
        <v>78</v>
      </c>
      <c r="R26" s="6"/>
      <c r="S26" s="6"/>
      <c r="T26" s="6"/>
      <c r="U26" s="6"/>
      <c r="V26" s="6"/>
      <c r="W26" s="6"/>
      <c r="X26" s="6"/>
      <c r="Y26" s="8" t="s">
        <v>78</v>
      </c>
      <c r="Z26" s="8" t="s">
        <v>78</v>
      </c>
      <c r="AA26" s="6"/>
      <c r="AB26" s="8" t="s">
        <v>78</v>
      </c>
      <c r="AC26" s="6"/>
      <c r="AD26" s="6"/>
      <c r="AE26" s="8" t="s">
        <v>78</v>
      </c>
      <c r="AF26" s="6"/>
      <c r="AG26" s="8" t="s">
        <v>78</v>
      </c>
      <c r="AH26" s="6"/>
      <c r="AI26" s="6"/>
      <c r="AJ26" s="8" t="s">
        <v>78</v>
      </c>
      <c r="AK26" s="6"/>
      <c r="AL26" s="6"/>
      <c r="AM26" s="6"/>
      <c r="AN26" s="6"/>
      <c r="AO26" s="6"/>
      <c r="AP26" s="6"/>
      <c r="AQ26" s="6"/>
      <c r="AR26" s="8" t="s">
        <v>78</v>
      </c>
      <c r="AS26" s="6"/>
      <c r="AT26" s="6"/>
      <c r="AU26" s="6"/>
      <c r="AV26" s="6"/>
      <c r="AW26" s="8" t="s">
        <v>78</v>
      </c>
      <c r="AX26" s="6"/>
      <c r="AY26" s="6"/>
      <c r="AZ26" s="6"/>
      <c r="BA26" s="6"/>
      <c r="BB26" s="6"/>
      <c r="BC26" s="8" t="s">
        <v>78</v>
      </c>
      <c r="BD26" s="8" t="s">
        <v>78</v>
      </c>
      <c r="BE26" s="8" t="s">
        <v>78</v>
      </c>
      <c r="BF26" s="6"/>
      <c r="BG26" s="8" t="s">
        <v>78</v>
      </c>
      <c r="BH26" s="6"/>
      <c r="BI26" s="6"/>
      <c r="BJ26" s="8" t="s">
        <v>78</v>
      </c>
      <c r="BK26" s="6"/>
      <c r="BL26" s="6"/>
      <c r="BM26" s="6"/>
      <c r="BN26" s="6"/>
      <c r="BO26" s="6"/>
      <c r="BP26" s="8" t="s">
        <v>78</v>
      </c>
      <c r="BQ26" s="6"/>
      <c r="BR26" s="8" t="s">
        <v>78</v>
      </c>
      <c r="BS26" s="6"/>
      <c r="BT26" s="6"/>
      <c r="BU26" s="6"/>
      <c r="BV26" s="6"/>
      <c r="BW26" s="6"/>
      <c r="BX26" s="9">
        <f t="shared" si="2"/>
        <v>19</v>
      </c>
    </row>
    <row r="27" spans="1:76" ht="15.7">
      <c r="A27" s="6" t="s">
        <v>128</v>
      </c>
      <c r="B27" s="7" t="s">
        <v>129</v>
      </c>
      <c r="C27" s="6"/>
      <c r="D27" s="8" t="s">
        <v>78</v>
      </c>
      <c r="E27" s="6"/>
      <c r="F27" s="6"/>
      <c r="G27" s="6"/>
      <c r="H27" s="6"/>
      <c r="I27" s="8" t="s">
        <v>78</v>
      </c>
      <c r="J27" s="6"/>
      <c r="K27" s="6"/>
      <c r="L27" s="6"/>
      <c r="M27" s="6"/>
      <c r="N27" s="8" t="s">
        <v>78</v>
      </c>
      <c r="O27" s="8" t="s">
        <v>78</v>
      </c>
      <c r="P27" s="8" t="s">
        <v>78</v>
      </c>
      <c r="Q27" s="6"/>
      <c r="R27" s="6"/>
      <c r="S27" s="6"/>
      <c r="T27" s="6"/>
      <c r="U27" s="6"/>
      <c r="V27" s="6"/>
      <c r="W27" s="6"/>
      <c r="X27" s="6"/>
      <c r="Y27" s="8" t="s">
        <v>78</v>
      </c>
      <c r="Z27" s="8" t="s">
        <v>78</v>
      </c>
      <c r="AA27" s="6"/>
      <c r="AB27" s="8" t="s">
        <v>78</v>
      </c>
      <c r="AC27" s="6"/>
      <c r="AD27" s="8" t="s">
        <v>78</v>
      </c>
      <c r="AE27" s="6"/>
      <c r="AF27" s="8" t="s">
        <v>78</v>
      </c>
      <c r="AG27" s="6"/>
      <c r="AH27" s="6"/>
      <c r="AI27" s="8" t="s">
        <v>78</v>
      </c>
      <c r="AJ27" s="8" t="s">
        <v>78</v>
      </c>
      <c r="AK27" s="6"/>
      <c r="AL27" s="6"/>
      <c r="AM27" s="6"/>
      <c r="AN27" s="6"/>
      <c r="AO27" s="6"/>
      <c r="AP27" s="8" t="s">
        <v>78</v>
      </c>
      <c r="AQ27" s="6"/>
      <c r="AR27" s="6"/>
      <c r="AS27" s="8" t="s">
        <v>78</v>
      </c>
      <c r="AT27" s="6"/>
      <c r="AU27" s="6"/>
      <c r="AV27" s="6"/>
      <c r="AW27" s="6"/>
      <c r="AX27" s="6"/>
      <c r="AY27" s="6"/>
      <c r="AZ27" s="6"/>
      <c r="BA27" s="6"/>
      <c r="BB27" s="6"/>
      <c r="BC27" s="6"/>
      <c r="BD27" s="8" t="s">
        <v>78</v>
      </c>
      <c r="BE27" s="6"/>
      <c r="BF27" s="6"/>
      <c r="BG27" s="8" t="s">
        <v>78</v>
      </c>
      <c r="BH27" s="6"/>
      <c r="BI27" s="6"/>
      <c r="BJ27" s="6"/>
      <c r="BK27" s="6"/>
      <c r="BL27" s="6"/>
      <c r="BM27" s="8" t="s">
        <v>78</v>
      </c>
      <c r="BN27" s="8" t="s">
        <v>78</v>
      </c>
      <c r="BO27" s="6"/>
      <c r="BP27" s="6"/>
      <c r="BQ27" s="6"/>
      <c r="BR27" s="6"/>
      <c r="BS27" s="6"/>
      <c r="BT27" s="6"/>
      <c r="BU27" s="6"/>
      <c r="BV27" s="6"/>
      <c r="BW27" s="6"/>
      <c r="BX27" s="9">
        <f t="shared" si="2"/>
        <v>18</v>
      </c>
    </row>
    <row r="28" spans="1:76" ht="15.7">
      <c r="A28" s="6" t="s">
        <v>130</v>
      </c>
      <c r="B28" s="7" t="s">
        <v>131</v>
      </c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8" t="s">
        <v>78</v>
      </c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8" t="s">
        <v>78</v>
      </c>
      <c r="AF28" s="6"/>
      <c r="AG28" s="8" t="s">
        <v>78</v>
      </c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8" t="s">
        <v>78</v>
      </c>
      <c r="AS28" s="6"/>
      <c r="AT28" s="6"/>
      <c r="AU28" s="6"/>
      <c r="AV28" s="6"/>
      <c r="AW28" s="8" t="s">
        <v>78</v>
      </c>
      <c r="AX28" s="6"/>
      <c r="AY28" s="6"/>
      <c r="AZ28" s="6"/>
      <c r="BA28" s="6"/>
      <c r="BB28" s="6"/>
      <c r="BC28" s="8" t="s">
        <v>78</v>
      </c>
      <c r="BD28" s="6"/>
      <c r="BE28" s="8" t="s">
        <v>78</v>
      </c>
      <c r="BF28" s="6"/>
      <c r="BG28" s="6"/>
      <c r="BH28" s="6"/>
      <c r="BI28" s="6"/>
      <c r="BJ28" s="8" t="s">
        <v>78</v>
      </c>
      <c r="BK28" s="6"/>
      <c r="BL28" s="6"/>
      <c r="BM28" s="6"/>
      <c r="BN28" s="6"/>
      <c r="BO28" s="6"/>
      <c r="BP28" s="8" t="s">
        <v>78</v>
      </c>
      <c r="BQ28" s="6"/>
      <c r="BR28" s="8" t="s">
        <v>78</v>
      </c>
      <c r="BS28" s="8" t="s">
        <v>78</v>
      </c>
      <c r="BT28" s="6"/>
      <c r="BU28" s="6"/>
      <c r="BV28" s="6"/>
      <c r="BW28" s="6"/>
      <c r="BX28" s="9">
        <f t="shared" si="2"/>
        <v>11</v>
      </c>
    </row>
    <row r="29" spans="1:76" ht="15.7">
      <c r="A29" s="6" t="s">
        <v>132</v>
      </c>
      <c r="B29" s="7" t="s">
        <v>133</v>
      </c>
      <c r="C29" s="6"/>
      <c r="D29" s="6"/>
      <c r="E29" s="8" t="s">
        <v>78</v>
      </c>
      <c r="F29" s="8" t="s">
        <v>78</v>
      </c>
      <c r="G29" s="8" t="s">
        <v>78</v>
      </c>
      <c r="H29" s="6"/>
      <c r="I29" s="6"/>
      <c r="J29" s="8" t="s">
        <v>78</v>
      </c>
      <c r="K29" s="6"/>
      <c r="L29" s="8" t="s">
        <v>78</v>
      </c>
      <c r="M29" s="8" t="s">
        <v>78</v>
      </c>
      <c r="N29" s="6"/>
      <c r="O29" s="6"/>
      <c r="P29" s="6"/>
      <c r="Q29" s="6"/>
      <c r="R29" s="6"/>
      <c r="S29" s="8" t="s">
        <v>78</v>
      </c>
      <c r="T29" s="8" t="s">
        <v>78</v>
      </c>
      <c r="U29" s="8" t="s">
        <v>78</v>
      </c>
      <c r="V29" s="6"/>
      <c r="W29" s="6"/>
      <c r="X29" s="6"/>
      <c r="Y29" s="6"/>
      <c r="Z29" s="6"/>
      <c r="AA29" s="6"/>
      <c r="AB29" s="6"/>
      <c r="AC29" s="8" t="s">
        <v>78</v>
      </c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8" t="s">
        <v>78</v>
      </c>
      <c r="AY29" s="8" t="s">
        <v>78</v>
      </c>
      <c r="AZ29" s="8" t="s">
        <v>78</v>
      </c>
      <c r="BA29" s="6"/>
      <c r="BB29" s="8" t="s">
        <v>78</v>
      </c>
      <c r="BC29" s="6"/>
      <c r="BD29" s="6"/>
      <c r="BE29" s="6"/>
      <c r="BF29" s="8" t="s">
        <v>78</v>
      </c>
      <c r="BG29" s="6"/>
      <c r="BH29" s="8" t="s">
        <v>78</v>
      </c>
      <c r="BI29" s="6"/>
      <c r="BJ29" s="6"/>
      <c r="BK29" s="8" t="s">
        <v>78</v>
      </c>
      <c r="BL29" s="8" t="s">
        <v>78</v>
      </c>
      <c r="BM29" s="6"/>
      <c r="BN29" s="6"/>
      <c r="BO29" s="8" t="s">
        <v>78</v>
      </c>
      <c r="BP29" s="6"/>
      <c r="BQ29" s="8" t="s">
        <v>78</v>
      </c>
      <c r="BR29" s="6"/>
      <c r="BS29" s="6"/>
      <c r="BT29" s="6"/>
      <c r="BU29" s="6"/>
      <c r="BV29" s="6"/>
      <c r="BW29" s="6"/>
      <c r="BX29" s="9">
        <f t="shared" si="2"/>
        <v>20</v>
      </c>
    </row>
    <row r="30" spans="1:76" ht="15.7">
      <c r="A30" s="6" t="s">
        <v>134</v>
      </c>
      <c r="B30" s="7" t="s">
        <v>135</v>
      </c>
      <c r="C30" s="6"/>
      <c r="D30" s="6"/>
      <c r="E30" s="6"/>
      <c r="F30" s="6"/>
      <c r="G30" s="6"/>
      <c r="H30" s="8" t="s">
        <v>78</v>
      </c>
      <c r="I30" s="6"/>
      <c r="J30" s="6"/>
      <c r="K30" s="8" t="s">
        <v>78</v>
      </c>
      <c r="L30" s="6"/>
      <c r="M30" s="6"/>
      <c r="N30" s="6"/>
      <c r="O30" s="6"/>
      <c r="P30" s="6"/>
      <c r="Q30" s="6"/>
      <c r="R30" s="8" t="s">
        <v>78</v>
      </c>
      <c r="S30" s="6"/>
      <c r="T30" s="6"/>
      <c r="U30" s="6"/>
      <c r="V30" s="8" t="s">
        <v>78</v>
      </c>
      <c r="W30" s="8" t="s">
        <v>78</v>
      </c>
      <c r="X30" s="8" t="s">
        <v>78</v>
      </c>
      <c r="Y30" s="6"/>
      <c r="Z30" s="6"/>
      <c r="AA30" s="8" t="s">
        <v>78</v>
      </c>
      <c r="AB30" s="6"/>
      <c r="AC30" s="6"/>
      <c r="AD30" s="6"/>
      <c r="AE30" s="6"/>
      <c r="AF30" s="6"/>
      <c r="AG30" s="6"/>
      <c r="AH30" s="8" t="s">
        <v>78</v>
      </c>
      <c r="AI30" s="6"/>
      <c r="AJ30" s="6"/>
      <c r="AK30" s="8" t="s">
        <v>78</v>
      </c>
      <c r="AL30" s="8" t="s">
        <v>78</v>
      </c>
      <c r="AM30" s="8" t="s">
        <v>78</v>
      </c>
      <c r="AN30" s="8" t="s">
        <v>78</v>
      </c>
      <c r="AO30" s="8" t="s">
        <v>78</v>
      </c>
      <c r="AP30" s="6"/>
      <c r="AQ30" s="8" t="s">
        <v>78</v>
      </c>
      <c r="AR30" s="6"/>
      <c r="AS30" s="6"/>
      <c r="AT30" s="8" t="s">
        <v>78</v>
      </c>
      <c r="AU30" s="8" t="s">
        <v>78</v>
      </c>
      <c r="AV30" s="8" t="s">
        <v>78</v>
      </c>
      <c r="AW30" s="6"/>
      <c r="AX30" s="6"/>
      <c r="AY30" s="6"/>
      <c r="AZ30" s="6"/>
      <c r="BA30" s="8" t="s">
        <v>78</v>
      </c>
      <c r="BB30" s="6"/>
      <c r="BC30" s="6"/>
      <c r="BD30" s="6"/>
      <c r="BE30" s="6"/>
      <c r="BF30" s="6"/>
      <c r="BG30" s="6"/>
      <c r="BH30" s="6"/>
      <c r="BI30" s="8" t="s">
        <v>78</v>
      </c>
      <c r="BJ30" s="6"/>
      <c r="BK30" s="6"/>
      <c r="BL30" s="6"/>
      <c r="BM30" s="6"/>
      <c r="BN30" s="6"/>
      <c r="BO30" s="6"/>
      <c r="BP30" s="6"/>
      <c r="BQ30" s="6"/>
      <c r="BR30" s="6"/>
      <c r="BS30" s="6"/>
      <c r="BT30" s="8" t="s">
        <v>78</v>
      </c>
      <c r="BU30" s="8" t="s">
        <v>78</v>
      </c>
      <c r="BV30" s="8" t="s">
        <v>78</v>
      </c>
      <c r="BW30" s="8" t="s">
        <v>78</v>
      </c>
      <c r="BX30" s="9">
        <f t="shared" si="2"/>
        <v>23</v>
      </c>
    </row>
    <row r="31" spans="1:76" ht="15.7">
      <c r="A31" s="6" t="s">
        <v>136</v>
      </c>
      <c r="B31" s="7" t="s">
        <v>137</v>
      </c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8" t="s">
        <v>78</v>
      </c>
      <c r="R31" s="6"/>
      <c r="S31" s="6"/>
      <c r="T31" s="6"/>
      <c r="U31" s="6"/>
      <c r="V31" s="6"/>
      <c r="W31" s="8" t="s">
        <v>78</v>
      </c>
      <c r="X31" s="6"/>
      <c r="Y31" s="6"/>
      <c r="Z31" s="6"/>
      <c r="AA31" s="6"/>
      <c r="AB31" s="6"/>
      <c r="AC31" s="6"/>
      <c r="AD31" s="6"/>
      <c r="AE31" s="6"/>
      <c r="AF31" s="6"/>
      <c r="AG31" s="8" t="s">
        <v>78</v>
      </c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8" t="s">
        <v>78</v>
      </c>
      <c r="AS31" s="6"/>
      <c r="AT31" s="6"/>
      <c r="AU31" s="6"/>
      <c r="AV31" s="6"/>
      <c r="AW31" s="8" t="s">
        <v>78</v>
      </c>
      <c r="AX31" s="6"/>
      <c r="AY31" s="6"/>
      <c r="AZ31" s="6"/>
      <c r="BA31" s="6"/>
      <c r="BB31" s="6"/>
      <c r="BC31" s="8" t="s">
        <v>78</v>
      </c>
      <c r="BD31" s="6"/>
      <c r="BE31" s="6"/>
      <c r="BF31" s="6"/>
      <c r="BG31" s="6"/>
      <c r="BH31" s="6"/>
      <c r="BI31" s="6"/>
      <c r="BJ31" s="8" t="s">
        <v>78</v>
      </c>
      <c r="BK31" s="6"/>
      <c r="BL31" s="6"/>
      <c r="BM31" s="6"/>
      <c r="BN31" s="6"/>
      <c r="BO31" s="6"/>
      <c r="BP31" s="8" t="s">
        <v>78</v>
      </c>
      <c r="BQ31" s="6"/>
      <c r="BR31" s="8" t="s">
        <v>78</v>
      </c>
      <c r="BS31" s="8" t="s">
        <v>78</v>
      </c>
      <c r="BT31" s="6"/>
      <c r="BU31" s="6"/>
      <c r="BV31" s="6"/>
      <c r="BW31" s="6"/>
      <c r="BX31" s="9">
        <f t="shared" si="2"/>
        <v>10</v>
      </c>
    </row>
    <row r="32" spans="1:76" ht="15.7">
      <c r="A32" s="6" t="s">
        <v>138</v>
      </c>
      <c r="B32" s="7" t="s">
        <v>139</v>
      </c>
      <c r="C32" s="6"/>
      <c r="D32" s="6"/>
      <c r="E32" s="6"/>
      <c r="F32" s="6"/>
      <c r="G32" s="6"/>
      <c r="H32" s="8" t="s">
        <v>78</v>
      </c>
      <c r="I32" s="6"/>
      <c r="J32" s="6"/>
      <c r="K32" s="8" t="s">
        <v>78</v>
      </c>
      <c r="L32" s="6"/>
      <c r="M32" s="6"/>
      <c r="N32" s="6"/>
      <c r="O32" s="6"/>
      <c r="P32" s="6"/>
      <c r="Q32" s="6"/>
      <c r="R32" s="8" t="s">
        <v>78</v>
      </c>
      <c r="S32" s="6"/>
      <c r="T32" s="6"/>
      <c r="U32" s="6"/>
      <c r="V32" s="8" t="s">
        <v>78</v>
      </c>
      <c r="W32" s="6"/>
      <c r="X32" s="8" t="s">
        <v>78</v>
      </c>
      <c r="Y32" s="6"/>
      <c r="Z32" s="6"/>
      <c r="AA32" s="6"/>
      <c r="AB32" s="6"/>
      <c r="AC32" s="6"/>
      <c r="AD32" s="6"/>
      <c r="AE32" s="6"/>
      <c r="AF32" s="6"/>
      <c r="AG32" s="6"/>
      <c r="AH32" s="8" t="s">
        <v>78</v>
      </c>
      <c r="AI32" s="6"/>
      <c r="AJ32" s="6"/>
      <c r="AK32" s="8" t="s">
        <v>78</v>
      </c>
      <c r="AL32" s="6"/>
      <c r="AM32" s="8" t="s">
        <v>78</v>
      </c>
      <c r="AN32" s="6"/>
      <c r="AO32" s="8" t="s">
        <v>78</v>
      </c>
      <c r="AP32" s="6"/>
      <c r="AQ32" s="8" t="s">
        <v>78</v>
      </c>
      <c r="AR32" s="6"/>
      <c r="AS32" s="6"/>
      <c r="AT32" s="8" t="s">
        <v>78</v>
      </c>
      <c r="AU32" s="6"/>
      <c r="AV32" s="8" t="s">
        <v>78</v>
      </c>
      <c r="AW32" s="6"/>
      <c r="AX32" s="6"/>
      <c r="AY32" s="6"/>
      <c r="AZ32" s="6"/>
      <c r="BA32" s="6"/>
      <c r="BB32" s="6"/>
      <c r="BC32" s="6"/>
      <c r="BD32" s="6"/>
      <c r="BE32" s="6"/>
      <c r="BF32" s="6"/>
      <c r="BG32" s="6"/>
      <c r="BH32" s="6"/>
      <c r="BI32" s="8" t="s">
        <v>78</v>
      </c>
      <c r="BJ32" s="6"/>
      <c r="BK32" s="6"/>
      <c r="BL32" s="6"/>
      <c r="BM32" s="6"/>
      <c r="BN32" s="6"/>
      <c r="BO32" s="6"/>
      <c r="BP32" s="6"/>
      <c r="BQ32" s="6"/>
      <c r="BR32" s="6"/>
      <c r="BS32" s="6"/>
      <c r="BT32" s="8" t="s">
        <v>78</v>
      </c>
      <c r="BU32" s="8" t="s">
        <v>78</v>
      </c>
      <c r="BV32" s="8" t="s">
        <v>78</v>
      </c>
      <c r="BW32" s="6"/>
      <c r="BX32" s="11"/>
    </row>
    <row r="33" spans="1:76" ht="15.7">
      <c r="A33" s="6" t="s">
        <v>140</v>
      </c>
      <c r="B33" s="7" t="s">
        <v>141</v>
      </c>
      <c r="C33" s="6"/>
      <c r="D33" s="8" t="s">
        <v>78</v>
      </c>
      <c r="E33" s="6"/>
      <c r="F33" s="6"/>
      <c r="G33" s="6"/>
      <c r="H33" s="6"/>
      <c r="I33" s="8" t="s">
        <v>78</v>
      </c>
      <c r="J33" s="6"/>
      <c r="K33" s="6"/>
      <c r="L33" s="8" t="s">
        <v>78</v>
      </c>
      <c r="M33" s="8" t="s">
        <v>78</v>
      </c>
      <c r="N33" s="8" t="s">
        <v>78</v>
      </c>
      <c r="O33" s="6"/>
      <c r="P33" s="6"/>
      <c r="Q33" s="6"/>
      <c r="R33" s="6"/>
      <c r="S33" s="6"/>
      <c r="T33" s="8" t="s">
        <v>78</v>
      </c>
      <c r="U33" s="8" t="s">
        <v>78</v>
      </c>
      <c r="V33" s="6"/>
      <c r="W33" s="6"/>
      <c r="X33" s="6"/>
      <c r="Y33" s="6"/>
      <c r="Z33" s="6"/>
      <c r="AA33" s="6"/>
      <c r="AB33" s="6"/>
      <c r="AC33" s="6"/>
      <c r="AD33" s="8" t="s">
        <v>78</v>
      </c>
      <c r="AE33" s="6"/>
      <c r="AF33" s="8" t="s">
        <v>78</v>
      </c>
      <c r="AG33" s="6"/>
      <c r="AH33" s="6"/>
      <c r="AI33" s="8" t="s">
        <v>78</v>
      </c>
      <c r="AJ33" s="6"/>
      <c r="AK33" s="6"/>
      <c r="AL33" s="6"/>
      <c r="AM33" s="6"/>
      <c r="AN33" s="8" t="s">
        <v>78</v>
      </c>
      <c r="AO33" s="6"/>
      <c r="AP33" s="6"/>
      <c r="AQ33" s="6"/>
      <c r="AR33" s="6"/>
      <c r="AS33" s="8" t="s">
        <v>78</v>
      </c>
      <c r="AT33" s="6"/>
      <c r="AU33" s="6"/>
      <c r="AV33" s="6"/>
      <c r="AW33" s="6"/>
      <c r="AX33" s="8" t="s">
        <v>78</v>
      </c>
      <c r="AY33" s="8" t="s">
        <v>78</v>
      </c>
      <c r="AZ33" s="6"/>
      <c r="BA33" s="8" t="s">
        <v>78</v>
      </c>
      <c r="BB33" s="6"/>
      <c r="BC33" s="6"/>
      <c r="BD33" s="8" t="s">
        <v>78</v>
      </c>
      <c r="BE33" s="6"/>
      <c r="BF33" s="6"/>
      <c r="BG33" s="6"/>
      <c r="BH33" s="6"/>
      <c r="BI33" s="6"/>
      <c r="BJ33" s="6"/>
      <c r="BK33" s="6"/>
      <c r="BL33" s="6"/>
      <c r="BM33" s="8" t="s">
        <v>78</v>
      </c>
      <c r="BN33" s="8" t="s">
        <v>78</v>
      </c>
      <c r="BO33" s="6"/>
      <c r="BP33" s="6"/>
      <c r="BQ33" s="6"/>
      <c r="BR33" s="6"/>
      <c r="BS33" s="6"/>
      <c r="BT33" s="6"/>
      <c r="BU33" s="6"/>
      <c r="BV33" s="6"/>
      <c r="BW33" s="8" t="s">
        <v>78</v>
      </c>
      <c r="BX33" s="11"/>
    </row>
    <row r="34" spans="1:76" ht="15.7">
      <c r="A34" s="6" t="s">
        <v>142</v>
      </c>
      <c r="B34" s="7" t="s">
        <v>143</v>
      </c>
      <c r="C34" s="8" t="s">
        <v>2</v>
      </c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  <c r="AZ34" s="6"/>
      <c r="BA34" s="6"/>
      <c r="BB34" s="6"/>
      <c r="BC34" s="6"/>
      <c r="BD34" s="6"/>
      <c r="BE34" s="6"/>
      <c r="BF34" s="6"/>
      <c r="BG34" s="6"/>
      <c r="BH34" s="6"/>
      <c r="BI34" s="6"/>
      <c r="BJ34" s="6"/>
      <c r="BK34" s="6"/>
      <c r="BL34" s="6"/>
      <c r="BM34" s="6"/>
      <c r="BN34" s="6"/>
      <c r="BO34" s="6"/>
      <c r="BP34" s="6"/>
      <c r="BQ34" s="6"/>
      <c r="BR34" s="6"/>
      <c r="BS34" s="6"/>
      <c r="BT34" s="6"/>
      <c r="BU34" s="6"/>
      <c r="BV34" s="6"/>
      <c r="BW34" s="6"/>
      <c r="BX34" s="9">
        <f t="shared" ref="BX34:BX41" si="3">COUNTA(D34:BW34)</f>
        <v>0</v>
      </c>
    </row>
    <row r="35" spans="1:76" ht="15.7">
      <c r="A35" s="6" t="s">
        <v>144</v>
      </c>
      <c r="B35" s="7" t="s">
        <v>145</v>
      </c>
      <c r="C35" s="6"/>
      <c r="D35" s="6"/>
      <c r="E35" s="6"/>
      <c r="F35" s="6"/>
      <c r="G35" s="6"/>
      <c r="H35" s="8" t="s">
        <v>78</v>
      </c>
      <c r="I35" s="6"/>
      <c r="J35" s="6"/>
      <c r="K35" s="8" t="s">
        <v>78</v>
      </c>
      <c r="L35" s="6"/>
      <c r="M35" s="6"/>
      <c r="N35" s="6"/>
      <c r="O35" s="6"/>
      <c r="P35" s="6"/>
      <c r="Q35" s="8" t="s">
        <v>78</v>
      </c>
      <c r="R35" s="8" t="s">
        <v>78</v>
      </c>
      <c r="S35" s="6"/>
      <c r="T35" s="6"/>
      <c r="U35" s="6"/>
      <c r="V35" s="6"/>
      <c r="W35" s="8" t="s">
        <v>78</v>
      </c>
      <c r="X35" s="6"/>
      <c r="Y35" s="6"/>
      <c r="Z35" s="6"/>
      <c r="AA35" s="8" t="s">
        <v>78</v>
      </c>
      <c r="AB35" s="6"/>
      <c r="AC35" s="6"/>
      <c r="AD35" s="6"/>
      <c r="AE35" s="6"/>
      <c r="AF35" s="6"/>
      <c r="AG35" s="6"/>
      <c r="AH35" s="8" t="s">
        <v>78</v>
      </c>
      <c r="AI35" s="6"/>
      <c r="AJ35" s="6"/>
      <c r="AK35" s="6"/>
      <c r="AL35" s="6"/>
      <c r="AM35" s="8" t="s">
        <v>78</v>
      </c>
      <c r="AN35" s="6"/>
      <c r="AO35" s="8" t="s">
        <v>78</v>
      </c>
      <c r="AP35" s="6"/>
      <c r="AQ35" s="8" t="s">
        <v>78</v>
      </c>
      <c r="AR35" s="8" t="s">
        <v>78</v>
      </c>
      <c r="AS35" s="6"/>
      <c r="AT35" s="8" t="s">
        <v>78</v>
      </c>
      <c r="AU35" s="6"/>
      <c r="AV35" s="8" t="s">
        <v>78</v>
      </c>
      <c r="AW35" s="8" t="s">
        <v>78</v>
      </c>
      <c r="AX35" s="6"/>
      <c r="AY35" s="6"/>
      <c r="AZ35" s="6"/>
      <c r="BA35" s="6"/>
      <c r="BB35" s="6"/>
      <c r="BC35" s="6"/>
      <c r="BD35" s="6"/>
      <c r="BE35" s="6"/>
      <c r="BF35" s="6"/>
      <c r="BG35" s="6"/>
      <c r="BH35" s="6"/>
      <c r="BI35" s="8" t="s">
        <v>78</v>
      </c>
      <c r="BJ35" s="8" t="s">
        <v>78</v>
      </c>
      <c r="BK35" s="6"/>
      <c r="BL35" s="6"/>
      <c r="BM35" s="6"/>
      <c r="BN35" s="6"/>
      <c r="BO35" s="6"/>
      <c r="BP35" s="6"/>
      <c r="BQ35" s="6"/>
      <c r="BR35" s="8" t="s">
        <v>78</v>
      </c>
      <c r="BS35" s="8" t="s">
        <v>78</v>
      </c>
      <c r="BT35" s="8" t="s">
        <v>78</v>
      </c>
      <c r="BU35" s="8" t="s">
        <v>78</v>
      </c>
      <c r="BV35" s="8" t="s">
        <v>78</v>
      </c>
      <c r="BW35" s="6"/>
      <c r="BX35" s="9">
        <f t="shared" si="3"/>
        <v>21</v>
      </c>
    </row>
    <row r="36" spans="1:76" ht="15.7">
      <c r="A36" s="12" t="s">
        <v>146</v>
      </c>
      <c r="B36" s="7" t="s">
        <v>147</v>
      </c>
      <c r="C36" s="6"/>
      <c r="D36" s="6"/>
      <c r="E36" s="8" t="s">
        <v>78</v>
      </c>
      <c r="F36" s="8" t="s">
        <v>78</v>
      </c>
      <c r="G36" s="8" t="s">
        <v>78</v>
      </c>
      <c r="H36" s="6"/>
      <c r="I36" s="8" t="s">
        <v>78</v>
      </c>
      <c r="J36" s="8" t="s">
        <v>78</v>
      </c>
      <c r="K36" s="6"/>
      <c r="L36" s="8" t="s">
        <v>78</v>
      </c>
      <c r="M36" s="8" t="s">
        <v>78</v>
      </c>
      <c r="N36" s="6"/>
      <c r="O36" s="6"/>
      <c r="P36" s="6"/>
      <c r="Q36" s="6"/>
      <c r="R36" s="6"/>
      <c r="S36" s="8" t="s">
        <v>78</v>
      </c>
      <c r="T36" s="8" t="s">
        <v>78</v>
      </c>
      <c r="U36" s="8" t="s">
        <v>78</v>
      </c>
      <c r="V36" s="8" t="s">
        <v>78</v>
      </c>
      <c r="W36" s="6"/>
      <c r="X36" s="8" t="s">
        <v>78</v>
      </c>
      <c r="Y36" s="6"/>
      <c r="Z36" s="6"/>
      <c r="AA36" s="6"/>
      <c r="AB36" s="6"/>
      <c r="AC36" s="8" t="s">
        <v>78</v>
      </c>
      <c r="AD36" s="8" t="s">
        <v>78</v>
      </c>
      <c r="AE36" s="6"/>
      <c r="AF36" s="6"/>
      <c r="AG36" s="6"/>
      <c r="AH36" s="6"/>
      <c r="AI36" s="8" t="s">
        <v>78</v>
      </c>
      <c r="AJ36" s="6"/>
      <c r="AK36" s="8" t="s">
        <v>78</v>
      </c>
      <c r="AL36" s="8" t="s">
        <v>78</v>
      </c>
      <c r="AM36" s="6"/>
      <c r="AN36" s="8" t="s">
        <v>78</v>
      </c>
      <c r="AO36" s="6"/>
      <c r="AP36" s="6"/>
      <c r="AQ36" s="6"/>
      <c r="AR36" s="6"/>
      <c r="AS36" s="8" t="s">
        <v>78</v>
      </c>
      <c r="AT36" s="6"/>
      <c r="AU36" s="8" t="s">
        <v>78</v>
      </c>
      <c r="AV36" s="6"/>
      <c r="AW36" s="6"/>
      <c r="AX36" s="8" t="s">
        <v>78</v>
      </c>
      <c r="AY36" s="8" t="s">
        <v>78</v>
      </c>
      <c r="AZ36" s="8" t="s">
        <v>78</v>
      </c>
      <c r="BA36" s="8" t="s">
        <v>78</v>
      </c>
      <c r="BB36" s="8" t="s">
        <v>78</v>
      </c>
      <c r="BC36" s="6"/>
      <c r="BD36" s="6"/>
      <c r="BE36" s="6"/>
      <c r="BF36" s="8" t="s">
        <v>78</v>
      </c>
      <c r="BG36" s="6"/>
      <c r="BH36" s="8" t="s">
        <v>78</v>
      </c>
      <c r="BI36" s="6"/>
      <c r="BJ36" s="6"/>
      <c r="BK36" s="8" t="s">
        <v>78</v>
      </c>
      <c r="BL36" s="8" t="s">
        <v>78</v>
      </c>
      <c r="BM36" s="8" t="s">
        <v>78</v>
      </c>
      <c r="BN36" s="6"/>
      <c r="BO36" s="8" t="s">
        <v>78</v>
      </c>
      <c r="BP36" s="6"/>
      <c r="BQ36" s="8" t="s">
        <v>78</v>
      </c>
      <c r="BR36" s="6"/>
      <c r="BS36" s="6"/>
      <c r="BT36" s="6"/>
      <c r="BU36" s="8" t="s">
        <v>78</v>
      </c>
      <c r="BV36" s="6"/>
      <c r="BW36" s="8" t="s">
        <v>78</v>
      </c>
      <c r="BX36" s="9">
        <f t="shared" si="3"/>
        <v>34</v>
      </c>
    </row>
    <row r="37" spans="1:76" ht="15.7">
      <c r="A37" s="6" t="s">
        <v>148</v>
      </c>
      <c r="B37" s="7" t="s">
        <v>149</v>
      </c>
      <c r="C37" s="6"/>
      <c r="D37" s="8" t="s">
        <v>78</v>
      </c>
      <c r="E37" s="6"/>
      <c r="F37" s="6"/>
      <c r="G37" s="6"/>
      <c r="H37" s="6"/>
      <c r="I37" s="6"/>
      <c r="J37" s="6"/>
      <c r="K37" s="6"/>
      <c r="L37" s="6"/>
      <c r="M37" s="6"/>
      <c r="N37" s="8" t="s">
        <v>78</v>
      </c>
      <c r="O37" s="8" t="s">
        <v>78</v>
      </c>
      <c r="P37" s="8" t="s">
        <v>78</v>
      </c>
      <c r="Q37" s="8" t="s">
        <v>78</v>
      </c>
      <c r="R37" s="6"/>
      <c r="S37" s="6"/>
      <c r="T37" s="6"/>
      <c r="U37" s="6"/>
      <c r="V37" s="6"/>
      <c r="W37" s="6"/>
      <c r="X37" s="6"/>
      <c r="Y37" s="8" t="s">
        <v>78</v>
      </c>
      <c r="Z37" s="8" t="s">
        <v>78</v>
      </c>
      <c r="AA37" s="6"/>
      <c r="AB37" s="8" t="s">
        <v>78</v>
      </c>
      <c r="AC37" s="6"/>
      <c r="AD37" s="6"/>
      <c r="AE37" s="8" t="s">
        <v>78</v>
      </c>
      <c r="AF37" s="8" t="s">
        <v>78</v>
      </c>
      <c r="AG37" s="8" t="s">
        <v>78</v>
      </c>
      <c r="AH37" s="6"/>
      <c r="AI37" s="6"/>
      <c r="AJ37" s="8" t="s">
        <v>78</v>
      </c>
      <c r="AK37" s="6"/>
      <c r="AL37" s="6"/>
      <c r="AM37" s="6"/>
      <c r="AN37" s="6"/>
      <c r="AO37" s="6"/>
      <c r="AP37" s="8" t="s">
        <v>78</v>
      </c>
      <c r="AQ37" s="6"/>
      <c r="AR37" s="6"/>
      <c r="AS37" s="6"/>
      <c r="AT37" s="6"/>
      <c r="AU37" s="6"/>
      <c r="AV37" s="6"/>
      <c r="AW37" s="6"/>
      <c r="AX37" s="6"/>
      <c r="AY37" s="6"/>
      <c r="AZ37" s="6"/>
      <c r="BA37" s="6"/>
      <c r="BB37" s="6"/>
      <c r="BC37" s="8" t="s">
        <v>78</v>
      </c>
      <c r="BD37" s="8" t="s">
        <v>78</v>
      </c>
      <c r="BE37" s="8" t="s">
        <v>78</v>
      </c>
      <c r="BF37" s="6"/>
      <c r="BG37" s="8" t="s">
        <v>78</v>
      </c>
      <c r="BH37" s="6"/>
      <c r="BI37" s="6"/>
      <c r="BJ37" s="6"/>
      <c r="BK37" s="6"/>
      <c r="BL37" s="6"/>
      <c r="BM37" s="6"/>
      <c r="BN37" s="8" t="s">
        <v>78</v>
      </c>
      <c r="BO37" s="6"/>
      <c r="BP37" s="8" t="s">
        <v>78</v>
      </c>
      <c r="BQ37" s="6"/>
      <c r="BR37" s="8" t="s">
        <v>78</v>
      </c>
      <c r="BS37" s="8" t="s">
        <v>78</v>
      </c>
      <c r="BT37" s="6"/>
      <c r="BU37" s="6"/>
      <c r="BV37" s="6"/>
      <c r="BW37" s="6"/>
      <c r="BX37" s="9">
        <f t="shared" si="3"/>
        <v>21</v>
      </c>
    </row>
    <row r="38" spans="1:76" ht="15.7">
      <c r="A38" s="6" t="s">
        <v>150</v>
      </c>
      <c r="B38" s="7" t="s">
        <v>151</v>
      </c>
      <c r="C38" s="6"/>
      <c r="D38" s="6"/>
      <c r="E38" s="6"/>
      <c r="F38" s="6"/>
      <c r="G38" s="6"/>
      <c r="H38" s="8" t="s">
        <v>78</v>
      </c>
      <c r="I38" s="6"/>
      <c r="J38" s="6"/>
      <c r="K38" s="8" t="s">
        <v>78</v>
      </c>
      <c r="L38" s="6"/>
      <c r="M38" s="6"/>
      <c r="N38" s="6"/>
      <c r="O38" s="6"/>
      <c r="P38" s="6"/>
      <c r="Q38" s="6"/>
      <c r="R38" s="8" t="s">
        <v>78</v>
      </c>
      <c r="S38" s="6"/>
      <c r="T38" s="6"/>
      <c r="U38" s="6"/>
      <c r="V38" s="8" t="s">
        <v>78</v>
      </c>
      <c r="W38" s="6"/>
      <c r="X38" s="8" t="s">
        <v>78</v>
      </c>
      <c r="Y38" s="6"/>
      <c r="Z38" s="6"/>
      <c r="AA38" s="6"/>
      <c r="AB38" s="6"/>
      <c r="AC38" s="6"/>
      <c r="AD38" s="6"/>
      <c r="AE38" s="6"/>
      <c r="AF38" s="6"/>
      <c r="AG38" s="6"/>
      <c r="AH38" s="8" t="s">
        <v>78</v>
      </c>
      <c r="AI38" s="6"/>
      <c r="AJ38" s="6"/>
      <c r="AK38" s="8" t="s">
        <v>78</v>
      </c>
      <c r="AL38" s="8" t="s">
        <v>78</v>
      </c>
      <c r="AM38" s="8" t="s">
        <v>78</v>
      </c>
      <c r="AN38" s="8" t="s">
        <v>78</v>
      </c>
      <c r="AO38" s="8" t="s">
        <v>78</v>
      </c>
      <c r="AP38" s="6"/>
      <c r="AQ38" s="8" t="s">
        <v>78</v>
      </c>
      <c r="AR38" s="6"/>
      <c r="AS38" s="6"/>
      <c r="AT38" s="8" t="s">
        <v>78</v>
      </c>
      <c r="AU38" s="8" t="s">
        <v>78</v>
      </c>
      <c r="AV38" s="8" t="s">
        <v>78</v>
      </c>
      <c r="AW38" s="6"/>
      <c r="AX38" s="6"/>
      <c r="AY38" s="6"/>
      <c r="AZ38" s="6"/>
      <c r="BA38" s="8" t="s">
        <v>78</v>
      </c>
      <c r="BB38" s="6"/>
      <c r="BC38" s="6"/>
      <c r="BD38" s="6"/>
      <c r="BE38" s="6"/>
      <c r="BF38" s="6"/>
      <c r="BG38" s="6"/>
      <c r="BH38" s="6"/>
      <c r="BI38" s="8" t="s">
        <v>78</v>
      </c>
      <c r="BJ38" s="8" t="s">
        <v>78</v>
      </c>
      <c r="BK38" s="6"/>
      <c r="BL38" s="6"/>
      <c r="BM38" s="6"/>
      <c r="BN38" s="6"/>
      <c r="BO38" s="8" t="s">
        <v>78</v>
      </c>
      <c r="BP38" s="6"/>
      <c r="BQ38" s="6"/>
      <c r="BR38" s="6"/>
      <c r="BS38" s="6"/>
      <c r="BT38" s="8" t="s">
        <v>78</v>
      </c>
      <c r="BU38" s="8" t="s">
        <v>78</v>
      </c>
      <c r="BV38" s="8" t="s">
        <v>78</v>
      </c>
      <c r="BW38" s="8" t="s">
        <v>78</v>
      </c>
      <c r="BX38" s="9">
        <f t="shared" si="3"/>
        <v>23</v>
      </c>
    </row>
    <row r="39" spans="1:76" ht="15.7">
      <c r="A39" s="6" t="s">
        <v>152</v>
      </c>
      <c r="B39" s="13" t="s">
        <v>153</v>
      </c>
      <c r="C39" s="6"/>
      <c r="D39" s="6"/>
      <c r="E39" s="8" t="s">
        <v>78</v>
      </c>
      <c r="F39" s="8" t="s">
        <v>78</v>
      </c>
      <c r="G39" s="8" t="s">
        <v>78</v>
      </c>
      <c r="H39" s="6"/>
      <c r="I39" s="8" t="s">
        <v>78</v>
      </c>
      <c r="J39" s="8" t="s">
        <v>78</v>
      </c>
      <c r="K39" s="6"/>
      <c r="L39" s="8" t="s">
        <v>78</v>
      </c>
      <c r="M39" s="8" t="s">
        <v>78</v>
      </c>
      <c r="N39" s="6"/>
      <c r="O39" s="6"/>
      <c r="P39" s="6"/>
      <c r="Q39" s="6"/>
      <c r="R39" s="6"/>
      <c r="S39" s="8" t="s">
        <v>78</v>
      </c>
      <c r="T39" s="8" t="s">
        <v>78</v>
      </c>
      <c r="U39" s="8" t="s">
        <v>78</v>
      </c>
      <c r="V39" s="6"/>
      <c r="W39" s="6"/>
      <c r="X39" s="6"/>
      <c r="Y39" s="6"/>
      <c r="Z39" s="6"/>
      <c r="AA39" s="6"/>
      <c r="AB39" s="6"/>
      <c r="AC39" s="8" t="s">
        <v>78</v>
      </c>
      <c r="AD39" s="8" t="s">
        <v>78</v>
      </c>
      <c r="AE39" s="6"/>
      <c r="AF39" s="6"/>
      <c r="AG39" s="6"/>
      <c r="AH39" s="6"/>
      <c r="AI39" s="8" t="s">
        <v>78</v>
      </c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8" t="s">
        <v>78</v>
      </c>
      <c r="AY39" s="8" t="s">
        <v>78</v>
      </c>
      <c r="AZ39" s="8" t="s">
        <v>78</v>
      </c>
      <c r="BA39" s="6"/>
      <c r="BB39" s="8" t="s">
        <v>78</v>
      </c>
      <c r="BC39" s="6"/>
      <c r="BD39" s="6"/>
      <c r="BE39" s="6"/>
      <c r="BF39" s="8" t="s">
        <v>78</v>
      </c>
      <c r="BG39" s="6"/>
      <c r="BH39" s="8" t="s">
        <v>78</v>
      </c>
      <c r="BI39" s="6"/>
      <c r="BJ39" s="6"/>
      <c r="BK39" s="8" t="s">
        <v>78</v>
      </c>
      <c r="BL39" s="8" t="s">
        <v>78</v>
      </c>
      <c r="BM39" s="8" t="s">
        <v>78</v>
      </c>
      <c r="BN39" s="6"/>
      <c r="BO39" s="6"/>
      <c r="BP39" s="6"/>
      <c r="BQ39" s="8" t="s">
        <v>78</v>
      </c>
      <c r="BR39" s="6"/>
      <c r="BS39" s="6"/>
      <c r="BT39" s="6"/>
      <c r="BU39" s="6"/>
      <c r="BV39" s="6"/>
      <c r="BW39" s="6"/>
      <c r="BX39" s="9">
        <f t="shared" si="3"/>
        <v>23</v>
      </c>
    </row>
    <row r="40" spans="1:76" ht="15.7">
      <c r="A40" s="6" t="s">
        <v>154</v>
      </c>
      <c r="B40" s="7" t="s">
        <v>155</v>
      </c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8" t="s">
        <v>78</v>
      </c>
      <c r="R40" s="6"/>
      <c r="S40" s="6"/>
      <c r="T40" s="6"/>
      <c r="U40" s="6"/>
      <c r="V40" s="6"/>
      <c r="W40" s="8" t="s">
        <v>78</v>
      </c>
      <c r="X40" s="6"/>
      <c r="Y40" s="6"/>
      <c r="Z40" s="6"/>
      <c r="AA40" s="8" t="s">
        <v>78</v>
      </c>
      <c r="AB40" s="6"/>
      <c r="AC40" s="6"/>
      <c r="AD40" s="6"/>
      <c r="AE40" s="8" t="s">
        <v>78</v>
      </c>
      <c r="AF40" s="6"/>
      <c r="AG40" s="8" t="s">
        <v>78</v>
      </c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8" t="s">
        <v>78</v>
      </c>
      <c r="AS40" s="6"/>
      <c r="AT40" s="6"/>
      <c r="AU40" s="6"/>
      <c r="AV40" s="6"/>
      <c r="AW40" s="8" t="s">
        <v>78</v>
      </c>
      <c r="AX40" s="6"/>
      <c r="AY40" s="6"/>
      <c r="AZ40" s="6"/>
      <c r="BA40" s="6"/>
      <c r="BB40" s="6"/>
      <c r="BC40" s="8" t="s">
        <v>78</v>
      </c>
      <c r="BD40" s="6"/>
      <c r="BE40" s="6"/>
      <c r="BF40" s="6"/>
      <c r="BG40" s="6"/>
      <c r="BH40" s="6"/>
      <c r="BI40" s="6"/>
      <c r="BJ40" s="6"/>
      <c r="BK40" s="6"/>
      <c r="BL40" s="6"/>
      <c r="BM40" s="6"/>
      <c r="BN40" s="6"/>
      <c r="BO40" s="6"/>
      <c r="BP40" s="8" t="s">
        <v>78</v>
      </c>
      <c r="BQ40" s="6"/>
      <c r="BR40" s="8" t="s">
        <v>78</v>
      </c>
      <c r="BS40" s="8" t="s">
        <v>78</v>
      </c>
      <c r="BT40" s="6"/>
      <c r="BU40" s="6"/>
      <c r="BV40" s="6"/>
      <c r="BW40" s="6"/>
      <c r="BX40" s="9">
        <f t="shared" si="3"/>
        <v>11</v>
      </c>
    </row>
    <row r="41" spans="1:76" ht="15.7">
      <c r="A41" s="6" t="s">
        <v>156</v>
      </c>
      <c r="B41" s="7" t="s">
        <v>157</v>
      </c>
      <c r="C41" s="6"/>
      <c r="D41" s="8" t="s">
        <v>78</v>
      </c>
      <c r="E41" s="6"/>
      <c r="F41" s="6"/>
      <c r="G41" s="6"/>
      <c r="H41" s="6"/>
      <c r="I41" s="6"/>
      <c r="J41" s="6"/>
      <c r="K41" s="6"/>
      <c r="L41" s="6"/>
      <c r="M41" s="6"/>
      <c r="N41" s="8" t="s">
        <v>78</v>
      </c>
      <c r="O41" s="8" t="s">
        <v>78</v>
      </c>
      <c r="P41" s="8" t="s">
        <v>78</v>
      </c>
      <c r="Q41" s="6"/>
      <c r="R41" s="6"/>
      <c r="S41" s="6"/>
      <c r="T41" s="6"/>
      <c r="U41" s="6"/>
      <c r="V41" s="6"/>
      <c r="W41" s="6"/>
      <c r="X41" s="6"/>
      <c r="Y41" s="8" t="s">
        <v>78</v>
      </c>
      <c r="Z41" s="8" t="s">
        <v>78</v>
      </c>
      <c r="AA41" s="6"/>
      <c r="AB41" s="8" t="s">
        <v>78</v>
      </c>
      <c r="AC41" s="6"/>
      <c r="AD41" s="6"/>
      <c r="AE41" s="6"/>
      <c r="AF41" s="8" t="s">
        <v>78</v>
      </c>
      <c r="AG41" s="6"/>
      <c r="AH41" s="6"/>
      <c r="AI41" s="6"/>
      <c r="AJ41" s="8" t="s">
        <v>78</v>
      </c>
      <c r="AK41" s="6"/>
      <c r="AL41" s="6"/>
      <c r="AM41" s="6"/>
      <c r="AN41" s="6"/>
      <c r="AO41" s="6"/>
      <c r="AP41" s="8" t="s">
        <v>78</v>
      </c>
      <c r="AQ41" s="6"/>
      <c r="AR41" s="6"/>
      <c r="AS41" s="8" t="s">
        <v>78</v>
      </c>
      <c r="AT41" s="6"/>
      <c r="AU41" s="6"/>
      <c r="AV41" s="6"/>
      <c r="AW41" s="6"/>
      <c r="AX41" s="6"/>
      <c r="AY41" s="6"/>
      <c r="AZ41" s="6"/>
      <c r="BA41" s="6"/>
      <c r="BB41" s="6"/>
      <c r="BC41" s="6"/>
      <c r="BD41" s="8" t="s">
        <v>78</v>
      </c>
      <c r="BE41" s="8" t="s">
        <v>78</v>
      </c>
      <c r="BF41" s="6"/>
      <c r="BG41" s="8" t="s">
        <v>78</v>
      </c>
      <c r="BH41" s="6"/>
      <c r="BI41" s="6"/>
      <c r="BJ41" s="6"/>
      <c r="BK41" s="6"/>
      <c r="BL41" s="6"/>
      <c r="BM41" s="6"/>
      <c r="BN41" s="8" t="s">
        <v>78</v>
      </c>
      <c r="BO41" s="6"/>
      <c r="BP41" s="6"/>
      <c r="BQ41" s="6"/>
      <c r="BR41" s="6"/>
      <c r="BS41" s="6"/>
      <c r="BT41" s="6"/>
      <c r="BU41" s="6"/>
      <c r="BV41" s="6"/>
      <c r="BW41" s="6"/>
      <c r="BX41" s="9">
        <f t="shared" si="3"/>
        <v>15</v>
      </c>
    </row>
    <row r="42" spans="1:76" ht="15.7">
      <c r="A42" s="6"/>
      <c r="B42" s="7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  <c r="AZ42" s="6"/>
      <c r="BA42" s="6"/>
      <c r="BB42" s="6"/>
      <c r="BC42" s="6"/>
      <c r="BD42" s="6"/>
      <c r="BE42" s="6"/>
      <c r="BF42" s="6"/>
      <c r="BG42" s="6"/>
      <c r="BH42" s="6"/>
      <c r="BI42" s="6"/>
      <c r="BJ42" s="6"/>
      <c r="BK42" s="6"/>
      <c r="BL42" s="6"/>
      <c r="BM42" s="6"/>
      <c r="BN42" s="6"/>
      <c r="BO42" s="6"/>
      <c r="BP42" s="6"/>
      <c r="BQ42" s="6"/>
      <c r="BR42" s="6"/>
      <c r="BS42" s="6"/>
      <c r="BT42" s="6"/>
      <c r="BU42" s="6"/>
      <c r="BV42" s="6"/>
      <c r="BW42" s="6"/>
      <c r="BX42" s="11"/>
    </row>
    <row r="43" spans="1:76" ht="15.7">
      <c r="A43" s="6"/>
      <c r="B43" s="7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  <c r="AZ43" s="6"/>
      <c r="BA43" s="6"/>
      <c r="BB43" s="6"/>
      <c r="BC43" s="6"/>
      <c r="BD43" s="6"/>
      <c r="BE43" s="6"/>
      <c r="BF43" s="6"/>
      <c r="BG43" s="6"/>
      <c r="BH43" s="6"/>
      <c r="BI43" s="6"/>
      <c r="BJ43" s="6"/>
      <c r="BK43" s="6"/>
      <c r="BL43" s="6"/>
      <c r="BM43" s="6"/>
      <c r="BN43" s="6"/>
      <c r="BO43" s="6"/>
      <c r="BP43" s="6"/>
      <c r="BQ43" s="6"/>
      <c r="BR43" s="6"/>
      <c r="BS43" s="6"/>
      <c r="BT43" s="6"/>
      <c r="BU43" s="6"/>
      <c r="BV43" s="6"/>
      <c r="BW43" s="6"/>
      <c r="BX43" s="11"/>
    </row>
    <row r="44" spans="1:76" ht="15.7">
      <c r="A44" s="6"/>
      <c r="B44" s="7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  <c r="AZ44" s="6"/>
      <c r="BA44" s="6"/>
      <c r="BB44" s="6"/>
      <c r="BC44" s="6"/>
      <c r="BD44" s="6"/>
      <c r="BE44" s="6"/>
      <c r="BF44" s="6"/>
      <c r="BG44" s="6"/>
      <c r="BH44" s="6"/>
      <c r="BI44" s="6"/>
      <c r="BJ44" s="6"/>
      <c r="BK44" s="6"/>
      <c r="BL44" s="6"/>
      <c r="BM44" s="6"/>
      <c r="BN44" s="6"/>
      <c r="BO44" s="6"/>
      <c r="BP44" s="6"/>
      <c r="BQ44" s="6"/>
      <c r="BR44" s="6"/>
      <c r="BS44" s="6"/>
      <c r="BT44" s="6"/>
      <c r="BU44" s="6"/>
      <c r="BV44" s="6"/>
      <c r="BW44" s="6"/>
      <c r="BX44" s="11"/>
    </row>
    <row r="45" spans="1:76" ht="15.7">
      <c r="A45" s="6"/>
      <c r="B45" s="7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  <c r="AZ45" s="6"/>
      <c r="BA45" s="6"/>
      <c r="BB45" s="6"/>
      <c r="BC45" s="6"/>
      <c r="BD45" s="6"/>
      <c r="BE45" s="6"/>
      <c r="BF45" s="6"/>
      <c r="BG45" s="6"/>
      <c r="BH45" s="6"/>
      <c r="BI45" s="6"/>
      <c r="BJ45" s="6"/>
      <c r="BK45" s="6"/>
      <c r="BL45" s="6"/>
      <c r="BM45" s="6"/>
      <c r="BN45" s="6"/>
      <c r="BO45" s="6"/>
      <c r="BP45" s="6"/>
      <c r="BQ45" s="6"/>
      <c r="BR45" s="6"/>
      <c r="BS45" s="6"/>
      <c r="BT45" s="6"/>
      <c r="BU45" s="6"/>
      <c r="BV45" s="6"/>
      <c r="BW45" s="6"/>
      <c r="BX45" s="11"/>
    </row>
    <row r="46" spans="1:76" ht="15.7">
      <c r="A46" s="6"/>
      <c r="B46" s="7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  <c r="AZ46" s="6"/>
      <c r="BA46" s="6"/>
      <c r="BB46" s="6"/>
      <c r="BC46" s="6"/>
      <c r="BD46" s="6"/>
      <c r="BE46" s="6"/>
      <c r="BF46" s="6"/>
      <c r="BG46" s="6"/>
      <c r="BH46" s="6"/>
      <c r="BI46" s="6"/>
      <c r="BJ46" s="6"/>
      <c r="BK46" s="6"/>
      <c r="BL46" s="6"/>
      <c r="BM46" s="6"/>
      <c r="BN46" s="6"/>
      <c r="BO46" s="6"/>
      <c r="BP46" s="6"/>
      <c r="BQ46" s="6"/>
      <c r="BR46" s="6"/>
      <c r="BS46" s="6"/>
      <c r="BT46" s="6"/>
      <c r="BU46" s="6"/>
      <c r="BV46" s="6"/>
      <c r="BW46" s="6"/>
      <c r="BX46" s="11"/>
    </row>
    <row r="47" spans="1:76" ht="15.7">
      <c r="A47" s="6"/>
      <c r="B47" s="7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  <c r="AZ47" s="6"/>
      <c r="BA47" s="6"/>
      <c r="BB47" s="6"/>
      <c r="BC47" s="6"/>
      <c r="BD47" s="6"/>
      <c r="BE47" s="6"/>
      <c r="BF47" s="6"/>
      <c r="BG47" s="6"/>
      <c r="BH47" s="6"/>
      <c r="BI47" s="6"/>
      <c r="BJ47" s="6"/>
      <c r="BK47" s="6"/>
      <c r="BL47" s="6"/>
      <c r="BM47" s="6"/>
      <c r="BN47" s="6"/>
      <c r="BO47" s="6"/>
      <c r="BP47" s="6"/>
      <c r="BQ47" s="6"/>
      <c r="BR47" s="6"/>
      <c r="BS47" s="6"/>
      <c r="BT47" s="6"/>
      <c r="BU47" s="6"/>
      <c r="BV47" s="6"/>
      <c r="BW47" s="6"/>
      <c r="BX47" s="11"/>
    </row>
    <row r="48" spans="1:76" ht="15.7">
      <c r="A48" s="6"/>
      <c r="B48" s="7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  <c r="AZ48" s="6"/>
      <c r="BA48" s="6"/>
      <c r="BB48" s="6"/>
      <c r="BC48" s="6"/>
      <c r="BD48" s="6"/>
      <c r="BE48" s="6"/>
      <c r="BF48" s="6"/>
      <c r="BG48" s="6"/>
      <c r="BH48" s="6"/>
      <c r="BI48" s="6"/>
      <c r="BJ48" s="6"/>
      <c r="BK48" s="6"/>
      <c r="BL48" s="6"/>
      <c r="BM48" s="6"/>
      <c r="BN48" s="6"/>
      <c r="BO48" s="6"/>
      <c r="BP48" s="6"/>
      <c r="BQ48" s="6"/>
      <c r="BR48" s="6"/>
      <c r="BS48" s="6"/>
      <c r="BT48" s="6"/>
      <c r="BU48" s="6"/>
      <c r="BV48" s="6"/>
      <c r="BW48" s="6"/>
      <c r="BX48" s="11"/>
    </row>
    <row r="49" spans="1:76" ht="15.7">
      <c r="A49" s="6"/>
      <c r="B49" s="7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  <c r="AZ49" s="6"/>
      <c r="BA49" s="6"/>
      <c r="BB49" s="6"/>
      <c r="BC49" s="6"/>
      <c r="BD49" s="6"/>
      <c r="BE49" s="6"/>
      <c r="BF49" s="6"/>
      <c r="BG49" s="6"/>
      <c r="BH49" s="6"/>
      <c r="BI49" s="6"/>
      <c r="BJ49" s="6"/>
      <c r="BK49" s="6"/>
      <c r="BL49" s="6"/>
      <c r="BM49" s="6"/>
      <c r="BN49" s="6"/>
      <c r="BO49" s="6"/>
      <c r="BP49" s="6"/>
      <c r="BQ49" s="6"/>
      <c r="BR49" s="6"/>
      <c r="BS49" s="6"/>
      <c r="BT49" s="6"/>
      <c r="BU49" s="6"/>
      <c r="BV49" s="6"/>
      <c r="BW49" s="6"/>
      <c r="BX49" s="11"/>
    </row>
    <row r="50" spans="1:76" ht="15.7">
      <c r="A50" s="6"/>
      <c r="B50" s="7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  <c r="AZ50" s="6"/>
      <c r="BA50" s="6"/>
      <c r="BB50" s="6"/>
      <c r="BC50" s="6"/>
      <c r="BD50" s="6"/>
      <c r="BE50" s="6"/>
      <c r="BF50" s="6"/>
      <c r="BG50" s="6"/>
      <c r="BH50" s="6"/>
      <c r="BI50" s="6"/>
      <c r="BJ50" s="6"/>
      <c r="BK50" s="6"/>
      <c r="BL50" s="6"/>
      <c r="BM50" s="6"/>
      <c r="BN50" s="6"/>
      <c r="BO50" s="6"/>
      <c r="BP50" s="6"/>
      <c r="BQ50" s="6"/>
      <c r="BR50" s="6"/>
      <c r="BS50" s="6"/>
      <c r="BT50" s="6"/>
      <c r="BU50" s="6"/>
      <c r="BV50" s="6"/>
      <c r="BW50" s="6"/>
      <c r="BX50" s="11"/>
    </row>
    <row r="51" spans="1:76" ht="15.7">
      <c r="A51" s="6"/>
      <c r="B51" s="7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  <c r="AZ51" s="6"/>
      <c r="BA51" s="6"/>
      <c r="BB51" s="6"/>
      <c r="BC51" s="6"/>
      <c r="BD51" s="6"/>
      <c r="BE51" s="6"/>
      <c r="BF51" s="6"/>
      <c r="BG51" s="6"/>
      <c r="BH51" s="6"/>
      <c r="BI51" s="6"/>
      <c r="BJ51" s="6"/>
      <c r="BK51" s="6"/>
      <c r="BL51" s="6"/>
      <c r="BM51" s="6"/>
      <c r="BN51" s="6"/>
      <c r="BO51" s="6"/>
      <c r="BP51" s="6"/>
      <c r="BQ51" s="6"/>
      <c r="BR51" s="6"/>
      <c r="BS51" s="6"/>
      <c r="BT51" s="6"/>
      <c r="BU51" s="6"/>
      <c r="BV51" s="6"/>
      <c r="BW51" s="6"/>
      <c r="BX51" s="11"/>
    </row>
    <row r="52" spans="1:76" ht="15.7">
      <c r="A52" s="6"/>
      <c r="B52" s="7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  <c r="AZ52" s="6"/>
      <c r="BA52" s="6"/>
      <c r="BB52" s="6"/>
      <c r="BC52" s="6"/>
      <c r="BD52" s="6"/>
      <c r="BE52" s="6"/>
      <c r="BF52" s="6"/>
      <c r="BG52" s="6"/>
      <c r="BH52" s="6"/>
      <c r="BI52" s="6"/>
      <c r="BJ52" s="6"/>
      <c r="BK52" s="6"/>
      <c r="BL52" s="6"/>
      <c r="BM52" s="6"/>
      <c r="BN52" s="6"/>
      <c r="BO52" s="6"/>
      <c r="BP52" s="6"/>
      <c r="BQ52" s="6"/>
      <c r="BR52" s="6"/>
      <c r="BS52" s="6"/>
      <c r="BT52" s="6"/>
      <c r="BU52" s="6"/>
      <c r="BV52" s="6"/>
      <c r="BW52" s="6"/>
      <c r="BX52" s="11"/>
    </row>
    <row r="53" spans="1:76" ht="15.7">
      <c r="A53" s="6"/>
      <c r="B53" s="7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  <c r="AZ53" s="6"/>
      <c r="BA53" s="6"/>
      <c r="BB53" s="6"/>
      <c r="BC53" s="6"/>
      <c r="BD53" s="6"/>
      <c r="BE53" s="6"/>
      <c r="BF53" s="6"/>
      <c r="BG53" s="6"/>
      <c r="BH53" s="6"/>
      <c r="BI53" s="6"/>
      <c r="BJ53" s="6"/>
      <c r="BK53" s="6"/>
      <c r="BL53" s="6"/>
      <c r="BM53" s="6"/>
      <c r="BN53" s="6"/>
      <c r="BO53" s="6"/>
      <c r="BP53" s="6"/>
      <c r="BQ53" s="6"/>
      <c r="BR53" s="6"/>
      <c r="BS53" s="6"/>
      <c r="BT53" s="6"/>
      <c r="BU53" s="6"/>
      <c r="BV53" s="6"/>
      <c r="BW53" s="6"/>
      <c r="BX53" s="11"/>
    </row>
    <row r="54" spans="1:76" ht="15.7">
      <c r="A54" s="6"/>
      <c r="B54" s="7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  <c r="AZ54" s="6"/>
      <c r="BA54" s="6"/>
      <c r="BB54" s="6"/>
      <c r="BC54" s="6"/>
      <c r="BD54" s="6"/>
      <c r="BE54" s="6"/>
      <c r="BF54" s="6"/>
      <c r="BG54" s="6"/>
      <c r="BH54" s="6"/>
      <c r="BI54" s="6"/>
      <c r="BJ54" s="6"/>
      <c r="BK54" s="6"/>
      <c r="BL54" s="6"/>
      <c r="BM54" s="6"/>
      <c r="BN54" s="6"/>
      <c r="BO54" s="6"/>
      <c r="BP54" s="6"/>
      <c r="BQ54" s="6"/>
      <c r="BR54" s="6"/>
      <c r="BS54" s="6"/>
      <c r="BT54" s="6"/>
      <c r="BU54" s="6"/>
      <c r="BV54" s="6"/>
      <c r="BW54" s="6"/>
      <c r="BX54" s="11"/>
    </row>
    <row r="55" spans="1:76" ht="15.7">
      <c r="A55" s="6"/>
      <c r="B55" s="7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  <c r="AZ55" s="6"/>
      <c r="BA55" s="6"/>
      <c r="BB55" s="6"/>
      <c r="BC55" s="6"/>
      <c r="BD55" s="6"/>
      <c r="BE55" s="6"/>
      <c r="BF55" s="6"/>
      <c r="BG55" s="6"/>
      <c r="BH55" s="6"/>
      <c r="BI55" s="6"/>
      <c r="BJ55" s="6"/>
      <c r="BK55" s="6"/>
      <c r="BL55" s="6"/>
      <c r="BM55" s="6"/>
      <c r="BN55" s="6"/>
      <c r="BO55" s="6"/>
      <c r="BP55" s="6"/>
      <c r="BQ55" s="6"/>
      <c r="BR55" s="6"/>
      <c r="BS55" s="6"/>
      <c r="BT55" s="6"/>
      <c r="BU55" s="6"/>
      <c r="BV55" s="6"/>
      <c r="BW55" s="6"/>
      <c r="BX55" s="11"/>
    </row>
    <row r="56" spans="1:76" ht="15.7">
      <c r="A56" s="6"/>
      <c r="B56" s="7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  <c r="AZ56" s="6"/>
      <c r="BA56" s="6"/>
      <c r="BB56" s="6"/>
      <c r="BC56" s="6"/>
      <c r="BD56" s="6"/>
      <c r="BE56" s="6"/>
      <c r="BF56" s="6"/>
      <c r="BG56" s="6"/>
      <c r="BH56" s="6"/>
      <c r="BI56" s="6"/>
      <c r="BJ56" s="6"/>
      <c r="BK56" s="6"/>
      <c r="BL56" s="6"/>
      <c r="BM56" s="6"/>
      <c r="BN56" s="6"/>
      <c r="BO56" s="6"/>
      <c r="BP56" s="6"/>
      <c r="BQ56" s="6"/>
      <c r="BR56" s="6"/>
      <c r="BS56" s="6"/>
      <c r="BT56" s="6"/>
      <c r="BU56" s="6"/>
      <c r="BV56" s="6"/>
      <c r="BW56" s="6"/>
      <c r="BX56" s="11"/>
    </row>
    <row r="57" spans="1:76" ht="15.7">
      <c r="A57" s="6"/>
      <c r="B57" s="7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  <c r="AZ57" s="6"/>
      <c r="BA57" s="6"/>
      <c r="BB57" s="6"/>
      <c r="BC57" s="6"/>
      <c r="BD57" s="6"/>
      <c r="BE57" s="6"/>
      <c r="BF57" s="6"/>
      <c r="BG57" s="6"/>
      <c r="BH57" s="6"/>
      <c r="BI57" s="6"/>
      <c r="BJ57" s="6"/>
      <c r="BK57" s="6"/>
      <c r="BL57" s="6"/>
      <c r="BM57" s="6"/>
      <c r="BN57" s="6"/>
      <c r="BO57" s="6"/>
      <c r="BP57" s="6"/>
      <c r="BQ57" s="6"/>
      <c r="BR57" s="6"/>
      <c r="BS57" s="6"/>
      <c r="BT57" s="6"/>
      <c r="BU57" s="6"/>
      <c r="BV57" s="6"/>
      <c r="BW57" s="6"/>
      <c r="BX57" s="11"/>
    </row>
    <row r="58" spans="1:76" ht="15.7">
      <c r="A58" s="6"/>
      <c r="B58" s="7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  <c r="AZ58" s="6"/>
      <c r="BA58" s="6"/>
      <c r="BB58" s="6"/>
      <c r="BC58" s="6"/>
      <c r="BD58" s="6"/>
      <c r="BE58" s="6"/>
      <c r="BF58" s="6"/>
      <c r="BG58" s="6"/>
      <c r="BH58" s="6"/>
      <c r="BI58" s="6"/>
      <c r="BJ58" s="6"/>
      <c r="BK58" s="6"/>
      <c r="BL58" s="6"/>
      <c r="BM58" s="6"/>
      <c r="BN58" s="6"/>
      <c r="BO58" s="6"/>
      <c r="BP58" s="6"/>
      <c r="BQ58" s="6"/>
      <c r="BR58" s="6"/>
      <c r="BS58" s="6"/>
      <c r="BT58" s="6"/>
      <c r="BU58" s="6"/>
      <c r="BV58" s="6"/>
      <c r="BW58" s="6"/>
      <c r="BX58" s="11"/>
    </row>
    <row r="59" spans="1:76" ht="15.7">
      <c r="A59" s="6"/>
      <c r="B59" s="7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  <c r="AZ59" s="6"/>
      <c r="BA59" s="6"/>
      <c r="BB59" s="6"/>
      <c r="BC59" s="6"/>
      <c r="BD59" s="6"/>
      <c r="BE59" s="6"/>
      <c r="BF59" s="6"/>
      <c r="BG59" s="6"/>
      <c r="BH59" s="6"/>
      <c r="BI59" s="6"/>
      <c r="BJ59" s="6"/>
      <c r="BK59" s="6"/>
      <c r="BL59" s="6"/>
      <c r="BM59" s="6"/>
      <c r="BN59" s="6"/>
      <c r="BO59" s="6"/>
      <c r="BP59" s="6"/>
      <c r="BQ59" s="6"/>
      <c r="BR59" s="6"/>
      <c r="BS59" s="6"/>
      <c r="BT59" s="6"/>
      <c r="BU59" s="6"/>
      <c r="BV59" s="6"/>
      <c r="BW59" s="6"/>
      <c r="BX59" s="11"/>
    </row>
    <row r="60" spans="1:76" ht="15.7">
      <c r="A60" s="6"/>
      <c r="B60" s="7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  <c r="AZ60" s="6"/>
      <c r="BA60" s="6"/>
      <c r="BB60" s="6"/>
      <c r="BC60" s="6"/>
      <c r="BD60" s="6"/>
      <c r="BE60" s="6"/>
      <c r="BF60" s="6"/>
      <c r="BG60" s="6"/>
      <c r="BH60" s="6"/>
      <c r="BI60" s="6"/>
      <c r="BJ60" s="6"/>
      <c r="BK60" s="6"/>
      <c r="BL60" s="6"/>
      <c r="BM60" s="6"/>
      <c r="BN60" s="6"/>
      <c r="BO60" s="6"/>
      <c r="BP60" s="6"/>
      <c r="BQ60" s="6"/>
      <c r="BR60" s="6"/>
      <c r="BS60" s="6"/>
      <c r="BT60" s="6"/>
      <c r="BU60" s="6"/>
      <c r="BV60" s="6"/>
      <c r="BW60" s="6"/>
      <c r="BX60" s="11"/>
    </row>
    <row r="61" spans="1:76" ht="15.7">
      <c r="A61" s="6"/>
      <c r="B61" s="7"/>
      <c r="C61" s="6"/>
      <c r="D61" s="6"/>
      <c r="E61" s="6"/>
      <c r="F61" s="6"/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  <c r="AZ61" s="6"/>
      <c r="BA61" s="6"/>
      <c r="BB61" s="6"/>
      <c r="BC61" s="6"/>
      <c r="BD61" s="6"/>
      <c r="BE61" s="6"/>
      <c r="BF61" s="6"/>
      <c r="BG61" s="6"/>
      <c r="BH61" s="6"/>
      <c r="BI61" s="6"/>
      <c r="BJ61" s="6"/>
      <c r="BK61" s="6"/>
      <c r="BL61" s="6"/>
      <c r="BM61" s="6"/>
      <c r="BN61" s="6"/>
      <c r="BO61" s="6"/>
      <c r="BP61" s="6"/>
      <c r="BQ61" s="6"/>
      <c r="BR61" s="6"/>
      <c r="BS61" s="6"/>
      <c r="BT61" s="6"/>
      <c r="BU61" s="6"/>
      <c r="BV61" s="6"/>
      <c r="BW61" s="6"/>
      <c r="BX61" s="11"/>
    </row>
    <row r="62" spans="1:76" ht="15.7">
      <c r="A62" s="6"/>
      <c r="B62" s="7"/>
      <c r="C62" s="6"/>
      <c r="D62" s="6"/>
      <c r="E62" s="6"/>
      <c r="F62" s="6"/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  <c r="AZ62" s="6"/>
      <c r="BA62" s="6"/>
      <c r="BB62" s="6"/>
      <c r="BC62" s="6"/>
      <c r="BD62" s="6"/>
      <c r="BE62" s="6"/>
      <c r="BF62" s="6"/>
      <c r="BG62" s="6"/>
      <c r="BH62" s="6"/>
      <c r="BI62" s="6"/>
      <c r="BJ62" s="6"/>
      <c r="BK62" s="6"/>
      <c r="BL62" s="6"/>
      <c r="BM62" s="6"/>
      <c r="BN62" s="6"/>
      <c r="BO62" s="6"/>
      <c r="BP62" s="6"/>
      <c r="BQ62" s="6"/>
      <c r="BR62" s="6"/>
      <c r="BS62" s="6"/>
      <c r="BT62" s="6"/>
      <c r="BU62" s="6"/>
      <c r="BV62" s="6"/>
      <c r="BW62" s="6"/>
      <c r="BX62" s="11"/>
    </row>
    <row r="63" spans="1:76" ht="15.7">
      <c r="A63" s="6"/>
      <c r="B63" s="7"/>
      <c r="C63" s="6"/>
      <c r="D63" s="6"/>
      <c r="E63" s="6"/>
      <c r="F63" s="6"/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  <c r="AZ63" s="6"/>
      <c r="BA63" s="6"/>
      <c r="BB63" s="6"/>
      <c r="BC63" s="6"/>
      <c r="BD63" s="6"/>
      <c r="BE63" s="6"/>
      <c r="BF63" s="6"/>
      <c r="BG63" s="6"/>
      <c r="BH63" s="6"/>
      <c r="BI63" s="6"/>
      <c r="BJ63" s="6"/>
      <c r="BK63" s="6"/>
      <c r="BL63" s="6"/>
      <c r="BM63" s="6"/>
      <c r="BN63" s="6"/>
      <c r="BO63" s="6"/>
      <c r="BP63" s="6"/>
      <c r="BQ63" s="6"/>
      <c r="BR63" s="6"/>
      <c r="BS63" s="6"/>
      <c r="BT63" s="6"/>
      <c r="BU63" s="6"/>
      <c r="BV63" s="6"/>
      <c r="BW63" s="6"/>
      <c r="BX63" s="11"/>
    </row>
    <row r="64" spans="1:76" ht="15.7">
      <c r="A64" s="6"/>
      <c r="B64" s="7"/>
      <c r="C64" s="6"/>
      <c r="D64" s="6"/>
      <c r="E64" s="6"/>
      <c r="F64" s="6"/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  <c r="AZ64" s="6"/>
      <c r="BA64" s="6"/>
      <c r="BB64" s="6"/>
      <c r="BC64" s="6"/>
      <c r="BD64" s="6"/>
      <c r="BE64" s="6"/>
      <c r="BF64" s="6"/>
      <c r="BG64" s="6"/>
      <c r="BH64" s="6"/>
      <c r="BI64" s="6"/>
      <c r="BJ64" s="6"/>
      <c r="BK64" s="6"/>
      <c r="BL64" s="6"/>
      <c r="BM64" s="6"/>
      <c r="BN64" s="6"/>
      <c r="BO64" s="6"/>
      <c r="BP64" s="6"/>
      <c r="BQ64" s="6"/>
      <c r="BR64" s="6"/>
      <c r="BS64" s="6"/>
      <c r="BT64" s="6"/>
      <c r="BU64" s="6"/>
      <c r="BV64" s="6"/>
      <c r="BW64" s="6"/>
      <c r="BX64" s="11"/>
    </row>
    <row r="65" spans="1:76" ht="15.7">
      <c r="A65" s="6"/>
      <c r="B65" s="7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  <c r="AZ65" s="6"/>
      <c r="BA65" s="6"/>
      <c r="BB65" s="6"/>
      <c r="BC65" s="6"/>
      <c r="BD65" s="6"/>
      <c r="BE65" s="6"/>
      <c r="BF65" s="6"/>
      <c r="BG65" s="6"/>
      <c r="BH65" s="6"/>
      <c r="BI65" s="6"/>
      <c r="BJ65" s="6"/>
      <c r="BK65" s="6"/>
      <c r="BL65" s="6"/>
      <c r="BM65" s="6"/>
      <c r="BN65" s="6"/>
      <c r="BO65" s="6"/>
      <c r="BP65" s="6"/>
      <c r="BQ65" s="6"/>
      <c r="BR65" s="6"/>
      <c r="BS65" s="6"/>
      <c r="BT65" s="6"/>
      <c r="BU65" s="6"/>
      <c r="BV65" s="6"/>
      <c r="BW65" s="6"/>
      <c r="BX65" s="11"/>
    </row>
    <row r="66" spans="1:76" ht="15.7">
      <c r="A66" s="6"/>
      <c r="B66" s="7"/>
      <c r="C66" s="6"/>
      <c r="D66" s="6"/>
      <c r="E66" s="6"/>
      <c r="F66" s="6"/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  <c r="AZ66" s="6"/>
      <c r="BA66" s="6"/>
      <c r="BB66" s="6"/>
      <c r="BC66" s="6"/>
      <c r="BD66" s="6"/>
      <c r="BE66" s="6"/>
      <c r="BF66" s="6"/>
      <c r="BG66" s="6"/>
      <c r="BH66" s="6"/>
      <c r="BI66" s="6"/>
      <c r="BJ66" s="6"/>
      <c r="BK66" s="6"/>
      <c r="BL66" s="6"/>
      <c r="BM66" s="6"/>
      <c r="BN66" s="6"/>
      <c r="BO66" s="6"/>
      <c r="BP66" s="6"/>
      <c r="BQ66" s="6"/>
      <c r="BR66" s="6"/>
      <c r="BS66" s="6"/>
      <c r="BT66" s="6"/>
      <c r="BU66" s="6"/>
      <c r="BV66" s="6"/>
      <c r="BW66" s="6"/>
      <c r="BX66" s="11"/>
    </row>
    <row r="67" spans="1:76" ht="15.7">
      <c r="A67" s="6"/>
      <c r="B67" s="7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  <c r="AZ67" s="6"/>
      <c r="BA67" s="6"/>
      <c r="BB67" s="6"/>
      <c r="BC67" s="6"/>
      <c r="BD67" s="6"/>
      <c r="BE67" s="6"/>
      <c r="BF67" s="6"/>
      <c r="BG67" s="6"/>
      <c r="BH67" s="6"/>
      <c r="BI67" s="6"/>
      <c r="BJ67" s="6"/>
      <c r="BK67" s="6"/>
      <c r="BL67" s="6"/>
      <c r="BM67" s="6"/>
      <c r="BN67" s="6"/>
      <c r="BO67" s="6"/>
      <c r="BP67" s="6"/>
      <c r="BQ67" s="6"/>
      <c r="BR67" s="6"/>
      <c r="BS67" s="6"/>
      <c r="BT67" s="6"/>
      <c r="BU67" s="6"/>
      <c r="BV67" s="6"/>
      <c r="BW67" s="6"/>
      <c r="BX67" s="11"/>
    </row>
    <row r="68" spans="1:76" ht="15.7">
      <c r="A68" s="6"/>
      <c r="B68" s="7"/>
      <c r="C68" s="6"/>
      <c r="D68" s="6"/>
      <c r="E68" s="6"/>
      <c r="F68" s="6"/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  <c r="AZ68" s="6"/>
      <c r="BA68" s="6"/>
      <c r="BB68" s="6"/>
      <c r="BC68" s="6"/>
      <c r="BD68" s="6"/>
      <c r="BE68" s="6"/>
      <c r="BF68" s="6"/>
      <c r="BG68" s="6"/>
      <c r="BH68" s="6"/>
      <c r="BI68" s="6"/>
      <c r="BJ68" s="6"/>
      <c r="BK68" s="6"/>
      <c r="BL68" s="6"/>
      <c r="BM68" s="6"/>
      <c r="BN68" s="6"/>
      <c r="BO68" s="6"/>
      <c r="BP68" s="6"/>
      <c r="BQ68" s="6"/>
      <c r="BR68" s="6"/>
      <c r="BS68" s="6"/>
      <c r="BT68" s="6"/>
      <c r="BU68" s="6"/>
      <c r="BV68" s="6"/>
      <c r="BW68" s="6"/>
      <c r="BX68" s="11"/>
    </row>
    <row r="69" spans="1:76" ht="15.7">
      <c r="A69" s="6"/>
      <c r="B69" s="7"/>
      <c r="C69" s="6"/>
      <c r="D69" s="6"/>
      <c r="E69" s="6"/>
      <c r="F69" s="6"/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  <c r="AZ69" s="6"/>
      <c r="BA69" s="6"/>
      <c r="BB69" s="6"/>
      <c r="BC69" s="6"/>
      <c r="BD69" s="6"/>
      <c r="BE69" s="6"/>
      <c r="BF69" s="6"/>
      <c r="BG69" s="6"/>
      <c r="BH69" s="6"/>
      <c r="BI69" s="6"/>
      <c r="BJ69" s="6"/>
      <c r="BK69" s="6"/>
      <c r="BL69" s="6"/>
      <c r="BM69" s="6"/>
      <c r="BN69" s="6"/>
      <c r="BO69" s="6"/>
      <c r="BP69" s="6"/>
      <c r="BQ69" s="6"/>
      <c r="BR69" s="6"/>
      <c r="BS69" s="6"/>
      <c r="BT69" s="6"/>
      <c r="BU69" s="6"/>
      <c r="BV69" s="6"/>
      <c r="BW69" s="6"/>
      <c r="BX69" s="11"/>
    </row>
    <row r="70" spans="1:76" ht="15.7">
      <c r="A70" s="6"/>
      <c r="B70" s="7"/>
      <c r="C70" s="6"/>
      <c r="D70" s="6"/>
      <c r="E70" s="6"/>
      <c r="F70" s="6"/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  <c r="AZ70" s="6"/>
      <c r="BA70" s="6"/>
      <c r="BB70" s="6"/>
      <c r="BC70" s="6"/>
      <c r="BD70" s="6"/>
      <c r="BE70" s="6"/>
      <c r="BF70" s="6"/>
      <c r="BG70" s="6"/>
      <c r="BH70" s="6"/>
      <c r="BI70" s="6"/>
      <c r="BJ70" s="6"/>
      <c r="BK70" s="6"/>
      <c r="BL70" s="6"/>
      <c r="BM70" s="6"/>
      <c r="BN70" s="6"/>
      <c r="BO70" s="6"/>
      <c r="BP70" s="6"/>
      <c r="BQ70" s="6"/>
      <c r="BR70" s="6"/>
      <c r="BS70" s="6"/>
      <c r="BT70" s="6"/>
      <c r="BU70" s="6"/>
      <c r="BV70" s="6"/>
      <c r="BW70" s="6"/>
      <c r="BX70" s="11"/>
    </row>
    <row r="71" spans="1:76" ht="15.7">
      <c r="A71" s="6"/>
      <c r="B71" s="7"/>
      <c r="C71" s="6"/>
      <c r="D71" s="6"/>
      <c r="E71" s="6"/>
      <c r="F71" s="6"/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  <c r="AZ71" s="6"/>
      <c r="BA71" s="6"/>
      <c r="BB71" s="6"/>
      <c r="BC71" s="6"/>
      <c r="BD71" s="6"/>
      <c r="BE71" s="6"/>
      <c r="BF71" s="6"/>
      <c r="BG71" s="6"/>
      <c r="BH71" s="6"/>
      <c r="BI71" s="6"/>
      <c r="BJ71" s="6"/>
      <c r="BK71" s="6"/>
      <c r="BL71" s="6"/>
      <c r="BM71" s="6"/>
      <c r="BN71" s="6"/>
      <c r="BO71" s="6"/>
      <c r="BP71" s="6"/>
      <c r="BQ71" s="6"/>
      <c r="BR71" s="6"/>
      <c r="BS71" s="6"/>
      <c r="BT71" s="6"/>
      <c r="BU71" s="6"/>
      <c r="BV71" s="6"/>
      <c r="BW71" s="6"/>
      <c r="BX71" s="11"/>
    </row>
    <row r="72" spans="1:76" ht="15.7">
      <c r="A72" s="6"/>
      <c r="B72" s="7"/>
      <c r="C72" s="6"/>
      <c r="D72" s="6"/>
      <c r="E72" s="6"/>
      <c r="F72" s="6"/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  <c r="AZ72" s="6"/>
      <c r="BA72" s="6"/>
      <c r="BB72" s="6"/>
      <c r="BC72" s="6"/>
      <c r="BD72" s="6"/>
      <c r="BE72" s="6"/>
      <c r="BF72" s="6"/>
      <c r="BG72" s="6"/>
      <c r="BH72" s="6"/>
      <c r="BI72" s="6"/>
      <c r="BJ72" s="6"/>
      <c r="BK72" s="6"/>
      <c r="BL72" s="6"/>
      <c r="BM72" s="6"/>
      <c r="BN72" s="6"/>
      <c r="BO72" s="6"/>
      <c r="BP72" s="6"/>
      <c r="BQ72" s="6"/>
      <c r="BR72" s="6"/>
      <c r="BS72" s="6"/>
      <c r="BT72" s="6"/>
      <c r="BU72" s="6"/>
      <c r="BV72" s="6"/>
      <c r="BW72" s="6"/>
      <c r="BX72" s="11"/>
    </row>
    <row r="73" spans="1:76" ht="15.7">
      <c r="A73" s="6"/>
      <c r="B73" s="7"/>
      <c r="C73" s="6"/>
      <c r="D73" s="6"/>
      <c r="E73" s="6"/>
      <c r="F73" s="6"/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  <c r="AZ73" s="6"/>
      <c r="BA73" s="6"/>
      <c r="BB73" s="6"/>
      <c r="BC73" s="6"/>
      <c r="BD73" s="6"/>
      <c r="BE73" s="6"/>
      <c r="BF73" s="6"/>
      <c r="BG73" s="6"/>
      <c r="BH73" s="6"/>
      <c r="BI73" s="6"/>
      <c r="BJ73" s="6"/>
      <c r="BK73" s="6"/>
      <c r="BL73" s="6"/>
      <c r="BM73" s="6"/>
      <c r="BN73" s="6"/>
      <c r="BO73" s="6"/>
      <c r="BP73" s="6"/>
      <c r="BQ73" s="6"/>
      <c r="BR73" s="6"/>
      <c r="BS73" s="6"/>
      <c r="BT73" s="6"/>
      <c r="BU73" s="6"/>
      <c r="BV73" s="6"/>
      <c r="BW73" s="6"/>
      <c r="BX73" s="11"/>
    </row>
    <row r="74" spans="1:76" ht="15.7">
      <c r="A74" s="6"/>
      <c r="B74" s="7"/>
      <c r="C74" s="6"/>
      <c r="D74" s="6"/>
      <c r="E74" s="6"/>
      <c r="F74" s="6"/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  <c r="AZ74" s="6"/>
      <c r="BA74" s="6"/>
      <c r="BB74" s="6"/>
      <c r="BC74" s="6"/>
      <c r="BD74" s="6"/>
      <c r="BE74" s="6"/>
      <c r="BF74" s="6"/>
      <c r="BG74" s="6"/>
      <c r="BH74" s="6"/>
      <c r="BI74" s="6"/>
      <c r="BJ74" s="6"/>
      <c r="BK74" s="6"/>
      <c r="BL74" s="6"/>
      <c r="BM74" s="6"/>
      <c r="BN74" s="6"/>
      <c r="BO74" s="6"/>
      <c r="BP74" s="6"/>
      <c r="BQ74" s="6"/>
      <c r="BR74" s="6"/>
      <c r="BS74" s="6"/>
      <c r="BT74" s="6"/>
      <c r="BU74" s="6"/>
      <c r="BV74" s="6"/>
      <c r="BW74" s="6"/>
      <c r="BX74" s="11"/>
    </row>
    <row r="75" spans="1:76" ht="15.7">
      <c r="A75" s="6"/>
      <c r="B75" s="7"/>
      <c r="C75" s="6"/>
      <c r="D75" s="6"/>
      <c r="E75" s="6"/>
      <c r="F75" s="6"/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  <c r="AZ75" s="6"/>
      <c r="BA75" s="6"/>
      <c r="BB75" s="6"/>
      <c r="BC75" s="6"/>
      <c r="BD75" s="6"/>
      <c r="BE75" s="6"/>
      <c r="BF75" s="6"/>
      <c r="BG75" s="6"/>
      <c r="BH75" s="6"/>
      <c r="BI75" s="6"/>
      <c r="BJ75" s="6"/>
      <c r="BK75" s="6"/>
      <c r="BL75" s="6"/>
      <c r="BM75" s="6"/>
      <c r="BN75" s="6"/>
      <c r="BO75" s="6"/>
      <c r="BP75" s="6"/>
      <c r="BQ75" s="6"/>
      <c r="BR75" s="6"/>
      <c r="BS75" s="6"/>
      <c r="BT75" s="6"/>
      <c r="BU75" s="6"/>
      <c r="BV75" s="6"/>
      <c r="BW75" s="6"/>
      <c r="BX75" s="11"/>
    </row>
    <row r="76" spans="1:76" ht="15.7">
      <c r="A76" s="6"/>
      <c r="B76" s="7"/>
      <c r="C76" s="6"/>
      <c r="D76" s="6"/>
      <c r="E76" s="6"/>
      <c r="F76" s="6"/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  <c r="AZ76" s="6"/>
      <c r="BA76" s="6"/>
      <c r="BB76" s="6"/>
      <c r="BC76" s="6"/>
      <c r="BD76" s="6"/>
      <c r="BE76" s="6"/>
      <c r="BF76" s="6"/>
      <c r="BG76" s="6"/>
      <c r="BH76" s="6"/>
      <c r="BI76" s="6"/>
      <c r="BJ76" s="6"/>
      <c r="BK76" s="6"/>
      <c r="BL76" s="6"/>
      <c r="BM76" s="6"/>
      <c r="BN76" s="6"/>
      <c r="BO76" s="6"/>
      <c r="BP76" s="6"/>
      <c r="BQ76" s="6"/>
      <c r="BR76" s="6"/>
      <c r="BS76" s="6"/>
      <c r="BT76" s="6"/>
      <c r="BU76" s="6"/>
      <c r="BV76" s="6"/>
      <c r="BW76" s="6"/>
      <c r="BX76" s="11"/>
    </row>
    <row r="77" spans="1:76" ht="15.7">
      <c r="A77" s="6"/>
      <c r="B77" s="7"/>
      <c r="C77" s="6"/>
      <c r="D77" s="6"/>
      <c r="E77" s="6"/>
      <c r="F77" s="6"/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  <c r="AZ77" s="6"/>
      <c r="BA77" s="6"/>
      <c r="BB77" s="6"/>
      <c r="BC77" s="6"/>
      <c r="BD77" s="6"/>
      <c r="BE77" s="6"/>
      <c r="BF77" s="6"/>
      <c r="BG77" s="6"/>
      <c r="BH77" s="6"/>
      <c r="BI77" s="6"/>
      <c r="BJ77" s="6"/>
      <c r="BK77" s="6"/>
      <c r="BL77" s="6"/>
      <c r="BM77" s="6"/>
      <c r="BN77" s="6"/>
      <c r="BO77" s="6"/>
      <c r="BP77" s="6"/>
      <c r="BQ77" s="6"/>
      <c r="BR77" s="6"/>
      <c r="BS77" s="6"/>
      <c r="BT77" s="6"/>
      <c r="BU77" s="6"/>
      <c r="BV77" s="6"/>
      <c r="BW77" s="6"/>
      <c r="BX77" s="11"/>
    </row>
    <row r="78" spans="1:76" ht="15.7">
      <c r="A78" s="6"/>
      <c r="B78" s="7"/>
      <c r="C78" s="6"/>
      <c r="D78" s="6"/>
      <c r="E78" s="6"/>
      <c r="F78" s="6"/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  <c r="AZ78" s="6"/>
      <c r="BA78" s="6"/>
      <c r="BB78" s="6"/>
      <c r="BC78" s="6"/>
      <c r="BD78" s="6"/>
      <c r="BE78" s="6"/>
      <c r="BF78" s="6"/>
      <c r="BG78" s="6"/>
      <c r="BH78" s="6"/>
      <c r="BI78" s="6"/>
      <c r="BJ78" s="6"/>
      <c r="BK78" s="6"/>
      <c r="BL78" s="6"/>
      <c r="BM78" s="6"/>
      <c r="BN78" s="6"/>
      <c r="BO78" s="6"/>
      <c r="BP78" s="6"/>
      <c r="BQ78" s="6"/>
      <c r="BR78" s="6"/>
      <c r="BS78" s="6"/>
      <c r="BT78" s="6"/>
      <c r="BU78" s="6"/>
      <c r="BV78" s="6"/>
      <c r="BW78" s="6"/>
      <c r="BX78" s="11"/>
    </row>
    <row r="79" spans="1:76" ht="15.7">
      <c r="A79" s="6"/>
      <c r="B79" s="7"/>
      <c r="C79" s="6"/>
      <c r="D79" s="6"/>
      <c r="E79" s="6"/>
      <c r="F79" s="6"/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  <c r="AZ79" s="6"/>
      <c r="BA79" s="6"/>
      <c r="BB79" s="6"/>
      <c r="BC79" s="6"/>
      <c r="BD79" s="6"/>
      <c r="BE79" s="6"/>
      <c r="BF79" s="6"/>
      <c r="BG79" s="6"/>
      <c r="BH79" s="6"/>
      <c r="BI79" s="6"/>
      <c r="BJ79" s="6"/>
      <c r="BK79" s="6"/>
      <c r="BL79" s="6"/>
      <c r="BM79" s="6"/>
      <c r="BN79" s="6"/>
      <c r="BO79" s="6"/>
      <c r="BP79" s="6"/>
      <c r="BQ79" s="6"/>
      <c r="BR79" s="6"/>
      <c r="BS79" s="6"/>
      <c r="BT79" s="6"/>
      <c r="BU79" s="6"/>
      <c r="BV79" s="6"/>
      <c r="BW79" s="6"/>
      <c r="BX79" s="11"/>
    </row>
    <row r="80" spans="1:76" ht="15.7">
      <c r="A80" s="6"/>
      <c r="B80" s="7"/>
      <c r="C80" s="6"/>
      <c r="D80" s="6"/>
      <c r="E80" s="6"/>
      <c r="F80" s="6"/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  <c r="AZ80" s="6"/>
      <c r="BA80" s="6"/>
      <c r="BB80" s="6"/>
      <c r="BC80" s="6"/>
      <c r="BD80" s="6"/>
      <c r="BE80" s="6"/>
      <c r="BF80" s="6"/>
      <c r="BG80" s="6"/>
      <c r="BH80" s="6"/>
      <c r="BI80" s="6"/>
      <c r="BJ80" s="6"/>
      <c r="BK80" s="6"/>
      <c r="BL80" s="6"/>
      <c r="BM80" s="6"/>
      <c r="BN80" s="6"/>
      <c r="BO80" s="6"/>
      <c r="BP80" s="6"/>
      <c r="BQ80" s="6"/>
      <c r="BR80" s="6"/>
      <c r="BS80" s="6"/>
      <c r="BT80" s="6"/>
      <c r="BU80" s="6"/>
      <c r="BV80" s="6"/>
      <c r="BW80" s="6"/>
      <c r="BX80" s="11"/>
    </row>
    <row r="81" spans="1:76" ht="15.7">
      <c r="A81" s="6"/>
      <c r="B81" s="7"/>
      <c r="C81" s="6"/>
      <c r="D81" s="6"/>
      <c r="E81" s="6"/>
      <c r="F81" s="6"/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  <c r="AZ81" s="6"/>
      <c r="BA81" s="6"/>
      <c r="BB81" s="6"/>
      <c r="BC81" s="6"/>
      <c r="BD81" s="6"/>
      <c r="BE81" s="6"/>
      <c r="BF81" s="6"/>
      <c r="BG81" s="6"/>
      <c r="BH81" s="6"/>
      <c r="BI81" s="6"/>
      <c r="BJ81" s="6"/>
      <c r="BK81" s="6"/>
      <c r="BL81" s="6"/>
      <c r="BM81" s="6"/>
      <c r="BN81" s="6"/>
      <c r="BO81" s="6"/>
      <c r="BP81" s="6"/>
      <c r="BQ81" s="6"/>
      <c r="BR81" s="6"/>
      <c r="BS81" s="6"/>
      <c r="BT81" s="6"/>
      <c r="BU81" s="6"/>
      <c r="BV81" s="6"/>
      <c r="BW81" s="6"/>
      <c r="BX81" s="11"/>
    </row>
    <row r="82" spans="1:76" ht="15.7">
      <c r="A82" s="6"/>
      <c r="B82" s="7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  <c r="AZ82" s="6"/>
      <c r="BA82" s="6"/>
      <c r="BB82" s="6"/>
      <c r="BC82" s="6"/>
      <c r="BD82" s="6"/>
      <c r="BE82" s="6"/>
      <c r="BF82" s="6"/>
      <c r="BG82" s="6"/>
      <c r="BH82" s="6"/>
      <c r="BI82" s="6"/>
      <c r="BJ82" s="6"/>
      <c r="BK82" s="6"/>
      <c r="BL82" s="6"/>
      <c r="BM82" s="6"/>
      <c r="BN82" s="6"/>
      <c r="BO82" s="6"/>
      <c r="BP82" s="6"/>
      <c r="BQ82" s="6"/>
      <c r="BR82" s="6"/>
      <c r="BS82" s="6"/>
      <c r="BT82" s="6"/>
      <c r="BU82" s="6"/>
      <c r="BV82" s="6"/>
      <c r="BW82" s="6"/>
      <c r="BX82" s="11"/>
    </row>
    <row r="83" spans="1:76" ht="15.7">
      <c r="A83" s="6"/>
      <c r="B83" s="7"/>
      <c r="C83" s="6"/>
      <c r="D83" s="6"/>
      <c r="E83" s="6"/>
      <c r="F83" s="6"/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  <c r="AZ83" s="6"/>
      <c r="BA83" s="6"/>
      <c r="BB83" s="6"/>
      <c r="BC83" s="6"/>
      <c r="BD83" s="6"/>
      <c r="BE83" s="6"/>
      <c r="BF83" s="6"/>
      <c r="BG83" s="6"/>
      <c r="BH83" s="6"/>
      <c r="BI83" s="6"/>
      <c r="BJ83" s="6"/>
      <c r="BK83" s="6"/>
      <c r="BL83" s="6"/>
      <c r="BM83" s="6"/>
      <c r="BN83" s="6"/>
      <c r="BO83" s="6"/>
      <c r="BP83" s="6"/>
      <c r="BQ83" s="6"/>
      <c r="BR83" s="6"/>
      <c r="BS83" s="6"/>
      <c r="BT83" s="6"/>
      <c r="BU83" s="6"/>
      <c r="BV83" s="6"/>
      <c r="BW83" s="6"/>
      <c r="BX83" s="11"/>
    </row>
    <row r="84" spans="1:76" ht="15.7">
      <c r="A84" s="6"/>
      <c r="B84" s="7"/>
      <c r="C84" s="6"/>
      <c r="D84" s="6"/>
      <c r="E84" s="6"/>
      <c r="F84" s="6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  <c r="AZ84" s="6"/>
      <c r="BA84" s="6"/>
      <c r="BB84" s="6"/>
      <c r="BC84" s="6"/>
      <c r="BD84" s="6"/>
      <c r="BE84" s="6"/>
      <c r="BF84" s="6"/>
      <c r="BG84" s="6"/>
      <c r="BH84" s="6"/>
      <c r="BI84" s="6"/>
      <c r="BJ84" s="6"/>
      <c r="BK84" s="6"/>
      <c r="BL84" s="6"/>
      <c r="BM84" s="6"/>
      <c r="BN84" s="6"/>
      <c r="BO84" s="6"/>
      <c r="BP84" s="6"/>
      <c r="BQ84" s="6"/>
      <c r="BR84" s="6"/>
      <c r="BS84" s="6"/>
      <c r="BT84" s="6"/>
      <c r="BU84" s="6"/>
      <c r="BV84" s="6"/>
      <c r="BW84" s="6"/>
      <c r="BX84" s="11"/>
    </row>
    <row r="85" spans="1:76" ht="15.7">
      <c r="A85" s="6"/>
      <c r="B85" s="7"/>
      <c r="C85" s="6"/>
      <c r="D85" s="6"/>
      <c r="E85" s="6"/>
      <c r="F85" s="6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  <c r="AZ85" s="6"/>
      <c r="BA85" s="6"/>
      <c r="BB85" s="6"/>
      <c r="BC85" s="6"/>
      <c r="BD85" s="6"/>
      <c r="BE85" s="6"/>
      <c r="BF85" s="6"/>
      <c r="BG85" s="6"/>
      <c r="BH85" s="6"/>
      <c r="BI85" s="6"/>
      <c r="BJ85" s="6"/>
      <c r="BK85" s="6"/>
      <c r="BL85" s="6"/>
      <c r="BM85" s="6"/>
      <c r="BN85" s="6"/>
      <c r="BO85" s="6"/>
      <c r="BP85" s="6"/>
      <c r="BQ85" s="6"/>
      <c r="BR85" s="6"/>
      <c r="BS85" s="6"/>
      <c r="BT85" s="6"/>
      <c r="BU85" s="6"/>
      <c r="BV85" s="6"/>
      <c r="BW85" s="6"/>
      <c r="BX85" s="11"/>
    </row>
    <row r="86" spans="1:76" ht="15.7">
      <c r="A86" s="6"/>
      <c r="B86" s="7"/>
      <c r="C86" s="6"/>
      <c r="D86" s="6"/>
      <c r="E86" s="6"/>
      <c r="F86" s="6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  <c r="AZ86" s="6"/>
      <c r="BA86" s="6"/>
      <c r="BB86" s="6"/>
      <c r="BC86" s="6"/>
      <c r="BD86" s="6"/>
      <c r="BE86" s="6"/>
      <c r="BF86" s="6"/>
      <c r="BG86" s="6"/>
      <c r="BH86" s="6"/>
      <c r="BI86" s="6"/>
      <c r="BJ86" s="6"/>
      <c r="BK86" s="6"/>
      <c r="BL86" s="6"/>
      <c r="BM86" s="6"/>
      <c r="BN86" s="6"/>
      <c r="BO86" s="6"/>
      <c r="BP86" s="6"/>
      <c r="BQ86" s="6"/>
      <c r="BR86" s="6"/>
      <c r="BS86" s="6"/>
      <c r="BT86" s="6"/>
      <c r="BU86" s="6"/>
      <c r="BV86" s="6"/>
      <c r="BW86" s="6"/>
      <c r="BX86" s="11"/>
    </row>
    <row r="87" spans="1:76" ht="15.7">
      <c r="A87" s="6"/>
      <c r="B87" s="7"/>
      <c r="C87" s="6"/>
      <c r="D87" s="6"/>
      <c r="E87" s="6"/>
      <c r="F87" s="6"/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6"/>
      <c r="BV87" s="6"/>
      <c r="BW87" s="6"/>
      <c r="BX87" s="11"/>
    </row>
    <row r="88" spans="1:76" ht="15.7">
      <c r="A88" s="6"/>
      <c r="B88" s="7"/>
      <c r="C88" s="6"/>
      <c r="D88" s="6"/>
      <c r="E88" s="6"/>
      <c r="F88" s="6"/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  <c r="AZ88" s="6"/>
      <c r="BA88" s="6"/>
      <c r="BB88" s="6"/>
      <c r="BC88" s="6"/>
      <c r="BD88" s="6"/>
      <c r="BE88" s="6"/>
      <c r="BF88" s="6"/>
      <c r="BG88" s="6"/>
      <c r="BH88" s="6"/>
      <c r="BI88" s="6"/>
      <c r="BJ88" s="6"/>
      <c r="BK88" s="6"/>
      <c r="BL88" s="6"/>
      <c r="BM88" s="6"/>
      <c r="BN88" s="6"/>
      <c r="BO88" s="6"/>
      <c r="BP88" s="6"/>
      <c r="BQ88" s="6"/>
      <c r="BR88" s="6"/>
      <c r="BS88" s="6"/>
      <c r="BT88" s="6"/>
      <c r="BU88" s="6"/>
      <c r="BV88" s="6"/>
      <c r="BW88" s="6"/>
      <c r="BX88" s="11"/>
    </row>
    <row r="89" spans="1:76" ht="15.7">
      <c r="A89" s="6"/>
      <c r="B89" s="7"/>
      <c r="C89" s="6"/>
      <c r="D89" s="6"/>
      <c r="E89" s="6"/>
      <c r="F89" s="6"/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  <c r="AZ89" s="6"/>
      <c r="BA89" s="6"/>
      <c r="BB89" s="6"/>
      <c r="BC89" s="6"/>
      <c r="BD89" s="6"/>
      <c r="BE89" s="6"/>
      <c r="BF89" s="6"/>
      <c r="BG89" s="6"/>
      <c r="BH89" s="6"/>
      <c r="BI89" s="6"/>
      <c r="BJ89" s="6"/>
      <c r="BK89" s="6"/>
      <c r="BL89" s="6"/>
      <c r="BM89" s="6"/>
      <c r="BN89" s="6"/>
      <c r="BO89" s="6"/>
      <c r="BP89" s="6"/>
      <c r="BQ89" s="6"/>
      <c r="BR89" s="6"/>
      <c r="BS89" s="6"/>
      <c r="BT89" s="6"/>
      <c r="BU89" s="6"/>
      <c r="BV89" s="6"/>
      <c r="BW89" s="6"/>
      <c r="BX89" s="11"/>
    </row>
    <row r="90" spans="1:76" ht="15.7">
      <c r="A90" s="6"/>
      <c r="B90" s="7"/>
      <c r="C90" s="6"/>
      <c r="D90" s="6"/>
      <c r="E90" s="6"/>
      <c r="F90" s="6"/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  <c r="AZ90" s="6"/>
      <c r="BA90" s="6"/>
      <c r="BB90" s="6"/>
      <c r="BC90" s="6"/>
      <c r="BD90" s="6"/>
      <c r="BE90" s="6"/>
      <c r="BF90" s="6"/>
      <c r="BG90" s="6"/>
      <c r="BH90" s="6"/>
      <c r="BI90" s="6"/>
      <c r="BJ90" s="6"/>
      <c r="BK90" s="6"/>
      <c r="BL90" s="6"/>
      <c r="BM90" s="6"/>
      <c r="BN90" s="6"/>
      <c r="BO90" s="6"/>
      <c r="BP90" s="6"/>
      <c r="BQ90" s="6"/>
      <c r="BR90" s="6"/>
      <c r="BS90" s="6"/>
      <c r="BT90" s="6"/>
      <c r="BU90" s="6"/>
      <c r="BV90" s="6"/>
      <c r="BW90" s="6"/>
      <c r="BX90" s="11"/>
    </row>
    <row r="91" spans="1:76" ht="15.7">
      <c r="A91" s="6"/>
      <c r="B91" s="7"/>
      <c r="C91" s="6"/>
      <c r="D91" s="6"/>
      <c r="E91" s="6"/>
      <c r="F91" s="6"/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  <c r="AZ91" s="6"/>
      <c r="BA91" s="6"/>
      <c r="BB91" s="6"/>
      <c r="BC91" s="6"/>
      <c r="BD91" s="6"/>
      <c r="BE91" s="6"/>
      <c r="BF91" s="6"/>
      <c r="BG91" s="6"/>
      <c r="BH91" s="6"/>
      <c r="BI91" s="6"/>
      <c r="BJ91" s="6"/>
      <c r="BK91" s="6"/>
      <c r="BL91" s="6"/>
      <c r="BM91" s="6"/>
      <c r="BN91" s="6"/>
      <c r="BO91" s="6"/>
      <c r="BP91" s="6"/>
      <c r="BQ91" s="6"/>
      <c r="BR91" s="6"/>
      <c r="BS91" s="6"/>
      <c r="BT91" s="6"/>
      <c r="BU91" s="6"/>
      <c r="BV91" s="6"/>
      <c r="BW91" s="6"/>
      <c r="BX91" s="11"/>
    </row>
    <row r="92" spans="1:76" ht="15.7">
      <c r="A92" s="6"/>
      <c r="B92" s="7"/>
      <c r="C92" s="6"/>
      <c r="D92" s="6"/>
      <c r="E92" s="6"/>
      <c r="F92" s="6"/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  <c r="AZ92" s="6"/>
      <c r="BA92" s="6"/>
      <c r="BB92" s="6"/>
      <c r="BC92" s="6"/>
      <c r="BD92" s="6"/>
      <c r="BE92" s="6"/>
      <c r="BF92" s="6"/>
      <c r="BG92" s="6"/>
      <c r="BH92" s="6"/>
      <c r="BI92" s="6"/>
      <c r="BJ92" s="6"/>
      <c r="BK92" s="6"/>
      <c r="BL92" s="6"/>
      <c r="BM92" s="6"/>
      <c r="BN92" s="6"/>
      <c r="BO92" s="6"/>
      <c r="BP92" s="6"/>
      <c r="BQ92" s="6"/>
      <c r="BR92" s="6"/>
      <c r="BS92" s="6"/>
      <c r="BT92" s="6"/>
      <c r="BU92" s="6"/>
      <c r="BV92" s="6"/>
      <c r="BW92" s="6"/>
      <c r="BX92" s="11"/>
    </row>
    <row r="93" spans="1:76" ht="15.7">
      <c r="A93" s="6"/>
      <c r="B93" s="7"/>
      <c r="C93" s="6"/>
      <c r="D93" s="6"/>
      <c r="E93" s="6"/>
      <c r="F93" s="6"/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  <c r="AZ93" s="6"/>
      <c r="BA93" s="6"/>
      <c r="BB93" s="6"/>
      <c r="BC93" s="6"/>
      <c r="BD93" s="6"/>
      <c r="BE93" s="6"/>
      <c r="BF93" s="6"/>
      <c r="BG93" s="6"/>
      <c r="BH93" s="6"/>
      <c r="BI93" s="6"/>
      <c r="BJ93" s="6"/>
      <c r="BK93" s="6"/>
      <c r="BL93" s="6"/>
      <c r="BM93" s="6"/>
      <c r="BN93" s="6"/>
      <c r="BO93" s="6"/>
      <c r="BP93" s="6"/>
      <c r="BQ93" s="6"/>
      <c r="BR93" s="6"/>
      <c r="BS93" s="6"/>
      <c r="BT93" s="6"/>
      <c r="BU93" s="6"/>
      <c r="BV93" s="6"/>
      <c r="BW93" s="6"/>
      <c r="BX93" s="11"/>
    </row>
    <row r="94" spans="1:76" ht="15.7">
      <c r="A94" s="6"/>
      <c r="B94" s="7"/>
      <c r="C94" s="6"/>
      <c r="D94" s="6"/>
      <c r="E94" s="6"/>
      <c r="F94" s="6"/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  <c r="AZ94" s="6"/>
      <c r="BA94" s="6"/>
      <c r="BB94" s="6"/>
      <c r="BC94" s="6"/>
      <c r="BD94" s="6"/>
      <c r="BE94" s="6"/>
      <c r="BF94" s="6"/>
      <c r="BG94" s="6"/>
      <c r="BH94" s="6"/>
      <c r="BI94" s="6"/>
      <c r="BJ94" s="6"/>
      <c r="BK94" s="6"/>
      <c r="BL94" s="6"/>
      <c r="BM94" s="6"/>
      <c r="BN94" s="6"/>
      <c r="BO94" s="6"/>
      <c r="BP94" s="6"/>
      <c r="BQ94" s="6"/>
      <c r="BR94" s="6"/>
      <c r="BS94" s="6"/>
      <c r="BT94" s="6"/>
      <c r="BU94" s="6"/>
      <c r="BV94" s="6"/>
      <c r="BW94" s="6"/>
      <c r="BX94" s="11"/>
    </row>
    <row r="95" spans="1:76" ht="15.7">
      <c r="A95" s="6"/>
      <c r="B95" s="7"/>
      <c r="C95" s="6"/>
      <c r="D95" s="6"/>
      <c r="E95" s="6"/>
      <c r="F95" s="6"/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  <c r="AZ95" s="6"/>
      <c r="BA95" s="6"/>
      <c r="BB95" s="6"/>
      <c r="BC95" s="6"/>
      <c r="BD95" s="6"/>
      <c r="BE95" s="6"/>
      <c r="BF95" s="6"/>
      <c r="BG95" s="6"/>
      <c r="BH95" s="6"/>
      <c r="BI95" s="6"/>
      <c r="BJ95" s="6"/>
      <c r="BK95" s="6"/>
      <c r="BL95" s="6"/>
      <c r="BM95" s="6"/>
      <c r="BN95" s="6"/>
      <c r="BO95" s="6"/>
      <c r="BP95" s="6"/>
      <c r="BQ95" s="6"/>
      <c r="BR95" s="6"/>
      <c r="BS95" s="6"/>
      <c r="BT95" s="6"/>
      <c r="BU95" s="6"/>
      <c r="BV95" s="6"/>
      <c r="BW95" s="6"/>
      <c r="BX95" s="11"/>
    </row>
    <row r="96" spans="1:76" ht="15.7">
      <c r="A96" s="6"/>
      <c r="B96" s="7"/>
      <c r="C96" s="6"/>
      <c r="D96" s="6"/>
      <c r="E96" s="6"/>
      <c r="F96" s="6"/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  <c r="AZ96" s="6"/>
      <c r="BA96" s="6"/>
      <c r="BB96" s="6"/>
      <c r="BC96" s="6"/>
      <c r="BD96" s="6"/>
      <c r="BE96" s="6"/>
      <c r="BF96" s="6"/>
      <c r="BG96" s="6"/>
      <c r="BH96" s="6"/>
      <c r="BI96" s="6"/>
      <c r="BJ96" s="6"/>
      <c r="BK96" s="6"/>
      <c r="BL96" s="6"/>
      <c r="BM96" s="6"/>
      <c r="BN96" s="6"/>
      <c r="BO96" s="6"/>
      <c r="BP96" s="6"/>
      <c r="BQ96" s="6"/>
      <c r="BR96" s="6"/>
      <c r="BS96" s="6"/>
      <c r="BT96" s="6"/>
      <c r="BU96" s="6"/>
      <c r="BV96" s="6"/>
      <c r="BW96" s="6"/>
      <c r="BX96" s="11"/>
    </row>
    <row r="97" spans="1:76" ht="15.7">
      <c r="A97" s="6"/>
      <c r="B97" s="7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  <c r="AZ97" s="6"/>
      <c r="BA97" s="6"/>
      <c r="BB97" s="6"/>
      <c r="BC97" s="6"/>
      <c r="BD97" s="6"/>
      <c r="BE97" s="6"/>
      <c r="BF97" s="6"/>
      <c r="BG97" s="6"/>
      <c r="BH97" s="6"/>
      <c r="BI97" s="6"/>
      <c r="BJ97" s="6"/>
      <c r="BK97" s="6"/>
      <c r="BL97" s="6"/>
      <c r="BM97" s="6"/>
      <c r="BN97" s="6"/>
      <c r="BO97" s="6"/>
      <c r="BP97" s="6"/>
      <c r="BQ97" s="6"/>
      <c r="BR97" s="6"/>
      <c r="BS97" s="6"/>
      <c r="BT97" s="6"/>
      <c r="BU97" s="6"/>
      <c r="BV97" s="6"/>
      <c r="BW97" s="6"/>
      <c r="BX97" s="11"/>
    </row>
    <row r="98" spans="1:76" ht="15.7">
      <c r="A98" s="6"/>
      <c r="B98" s="7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  <c r="AZ98" s="6"/>
      <c r="BA98" s="6"/>
      <c r="BB98" s="6"/>
      <c r="BC98" s="6"/>
      <c r="BD98" s="6"/>
      <c r="BE98" s="6"/>
      <c r="BF98" s="6"/>
      <c r="BG98" s="6"/>
      <c r="BH98" s="6"/>
      <c r="BI98" s="6"/>
      <c r="BJ98" s="6"/>
      <c r="BK98" s="6"/>
      <c r="BL98" s="6"/>
      <c r="BM98" s="6"/>
      <c r="BN98" s="6"/>
      <c r="BO98" s="6"/>
      <c r="BP98" s="6"/>
      <c r="BQ98" s="6"/>
      <c r="BR98" s="6"/>
      <c r="BS98" s="6"/>
      <c r="BT98" s="6"/>
      <c r="BU98" s="6"/>
      <c r="BV98" s="6"/>
      <c r="BW98" s="6"/>
      <c r="BX98" s="11"/>
    </row>
    <row r="99" spans="1:76" ht="15.7">
      <c r="A99" s="6"/>
      <c r="B99" s="7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  <c r="AZ99" s="6"/>
      <c r="BA99" s="6"/>
      <c r="BB99" s="6"/>
      <c r="BC99" s="6"/>
      <c r="BD99" s="6"/>
      <c r="BE99" s="6"/>
      <c r="BF99" s="6"/>
      <c r="BG99" s="6"/>
      <c r="BH99" s="6"/>
      <c r="BI99" s="6"/>
      <c r="BJ99" s="6"/>
      <c r="BK99" s="6"/>
      <c r="BL99" s="6"/>
      <c r="BM99" s="6"/>
      <c r="BN99" s="6"/>
      <c r="BO99" s="6"/>
      <c r="BP99" s="6"/>
      <c r="BQ99" s="6"/>
      <c r="BR99" s="6"/>
      <c r="BS99" s="6"/>
      <c r="BT99" s="6"/>
      <c r="BU99" s="6"/>
      <c r="BV99" s="6"/>
      <c r="BW99" s="6"/>
      <c r="BX99" s="11"/>
    </row>
    <row r="100" spans="1:76" ht="15.7">
      <c r="A100" s="6"/>
      <c r="B100" s="7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  <c r="AZ100" s="6"/>
      <c r="BA100" s="6"/>
      <c r="BB100" s="6"/>
      <c r="BC100" s="6"/>
      <c r="BD100" s="6"/>
      <c r="BE100" s="6"/>
      <c r="BF100" s="6"/>
      <c r="BG100" s="6"/>
      <c r="BH100" s="6"/>
      <c r="BI100" s="6"/>
      <c r="BJ100" s="6"/>
      <c r="BK100" s="6"/>
      <c r="BL100" s="6"/>
      <c r="BM100" s="6"/>
      <c r="BN100" s="6"/>
      <c r="BO100" s="6"/>
      <c r="BP100" s="6"/>
      <c r="BQ100" s="6"/>
      <c r="BR100" s="6"/>
      <c r="BS100" s="6"/>
      <c r="BT100" s="6"/>
      <c r="BU100" s="6"/>
      <c r="BV100" s="6"/>
      <c r="BW100" s="6"/>
      <c r="BX100" s="11"/>
    </row>
    <row r="101" spans="1:76" ht="15.7">
      <c r="A101" s="6"/>
      <c r="B101" s="7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  <c r="AZ101" s="6"/>
      <c r="BA101" s="6"/>
      <c r="BB101" s="6"/>
      <c r="BC101" s="6"/>
      <c r="BD101" s="6"/>
      <c r="BE101" s="6"/>
      <c r="BF101" s="6"/>
      <c r="BG101" s="6"/>
      <c r="BH101" s="6"/>
      <c r="BI101" s="6"/>
      <c r="BJ101" s="6"/>
      <c r="BK101" s="6"/>
      <c r="BL101" s="6"/>
      <c r="BM101" s="6"/>
      <c r="BN101" s="6"/>
      <c r="BO101" s="6"/>
      <c r="BP101" s="6"/>
      <c r="BQ101" s="6"/>
      <c r="BR101" s="6"/>
      <c r="BS101" s="6"/>
      <c r="BT101" s="6"/>
      <c r="BU101" s="6"/>
      <c r="BV101" s="6"/>
      <c r="BW101" s="6"/>
      <c r="BX101" s="11"/>
    </row>
    <row r="102" spans="1:76" ht="15.7">
      <c r="A102" s="6"/>
      <c r="B102" s="7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  <c r="AZ102" s="6"/>
      <c r="BA102" s="6"/>
      <c r="BB102" s="6"/>
      <c r="BC102" s="6"/>
      <c r="BD102" s="6"/>
      <c r="BE102" s="6"/>
      <c r="BF102" s="6"/>
      <c r="BG102" s="6"/>
      <c r="BH102" s="6"/>
      <c r="BI102" s="6"/>
      <c r="BJ102" s="6"/>
      <c r="BK102" s="6"/>
      <c r="BL102" s="6"/>
      <c r="BM102" s="6"/>
      <c r="BN102" s="6"/>
      <c r="BO102" s="6"/>
      <c r="BP102" s="6"/>
      <c r="BQ102" s="6"/>
      <c r="BR102" s="6"/>
      <c r="BS102" s="6"/>
      <c r="BT102" s="6"/>
      <c r="BU102" s="6"/>
      <c r="BV102" s="6"/>
      <c r="BW102" s="6"/>
      <c r="BX102" s="11"/>
    </row>
    <row r="103" spans="1:76" ht="15.7">
      <c r="A103" s="6"/>
      <c r="B103" s="7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  <c r="AZ103" s="6"/>
      <c r="BA103" s="6"/>
      <c r="BB103" s="6"/>
      <c r="BC103" s="6"/>
      <c r="BD103" s="6"/>
      <c r="BE103" s="6"/>
      <c r="BF103" s="6"/>
      <c r="BG103" s="6"/>
      <c r="BH103" s="6"/>
      <c r="BI103" s="6"/>
      <c r="BJ103" s="6"/>
      <c r="BK103" s="6"/>
      <c r="BL103" s="6"/>
      <c r="BM103" s="6"/>
      <c r="BN103" s="6"/>
      <c r="BO103" s="6"/>
      <c r="BP103" s="6"/>
      <c r="BQ103" s="6"/>
      <c r="BR103" s="6"/>
      <c r="BS103" s="6"/>
      <c r="BT103" s="6"/>
      <c r="BU103" s="6"/>
      <c r="BV103" s="6"/>
      <c r="BW103" s="6"/>
      <c r="BX103" s="11"/>
    </row>
    <row r="104" spans="1:76" ht="15.7">
      <c r="A104" s="6"/>
      <c r="B104" s="7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  <c r="AZ104" s="6"/>
      <c r="BA104" s="6"/>
      <c r="BB104" s="6"/>
      <c r="BC104" s="6"/>
      <c r="BD104" s="6"/>
      <c r="BE104" s="6"/>
      <c r="BF104" s="6"/>
      <c r="BG104" s="6"/>
      <c r="BH104" s="6"/>
      <c r="BI104" s="6"/>
      <c r="BJ104" s="6"/>
      <c r="BK104" s="6"/>
      <c r="BL104" s="6"/>
      <c r="BM104" s="6"/>
      <c r="BN104" s="6"/>
      <c r="BO104" s="6"/>
      <c r="BP104" s="6"/>
      <c r="BQ104" s="6"/>
      <c r="BR104" s="6"/>
      <c r="BS104" s="6"/>
      <c r="BT104" s="6"/>
      <c r="BU104" s="6"/>
      <c r="BV104" s="6"/>
      <c r="BW104" s="6"/>
      <c r="BX104" s="11"/>
    </row>
    <row r="105" spans="1:76" ht="15.7">
      <c r="A105" s="6"/>
      <c r="B105" s="7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  <c r="AZ105" s="6"/>
      <c r="BA105" s="6"/>
      <c r="BB105" s="6"/>
      <c r="BC105" s="6"/>
      <c r="BD105" s="6"/>
      <c r="BE105" s="6"/>
      <c r="BF105" s="6"/>
      <c r="BG105" s="6"/>
      <c r="BH105" s="6"/>
      <c r="BI105" s="6"/>
      <c r="BJ105" s="6"/>
      <c r="BK105" s="6"/>
      <c r="BL105" s="6"/>
      <c r="BM105" s="6"/>
      <c r="BN105" s="6"/>
      <c r="BO105" s="6"/>
      <c r="BP105" s="6"/>
      <c r="BQ105" s="6"/>
      <c r="BR105" s="6"/>
      <c r="BS105" s="6"/>
      <c r="BT105" s="6"/>
      <c r="BU105" s="6"/>
      <c r="BV105" s="6"/>
      <c r="BW105" s="6"/>
      <c r="BX105" s="11"/>
    </row>
    <row r="106" spans="1:76" ht="15.7">
      <c r="A106" s="6"/>
      <c r="B106" s="7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  <c r="AZ106" s="6"/>
      <c r="BA106" s="6"/>
      <c r="BB106" s="6"/>
      <c r="BC106" s="6"/>
      <c r="BD106" s="6"/>
      <c r="BE106" s="6"/>
      <c r="BF106" s="6"/>
      <c r="BG106" s="6"/>
      <c r="BH106" s="6"/>
      <c r="BI106" s="6"/>
      <c r="BJ106" s="6"/>
      <c r="BK106" s="6"/>
      <c r="BL106" s="6"/>
      <c r="BM106" s="6"/>
      <c r="BN106" s="6"/>
      <c r="BO106" s="6"/>
      <c r="BP106" s="6"/>
      <c r="BQ106" s="6"/>
      <c r="BR106" s="6"/>
      <c r="BS106" s="6"/>
      <c r="BT106" s="6"/>
      <c r="BU106" s="6"/>
      <c r="BV106" s="6"/>
      <c r="BW106" s="6"/>
      <c r="BX106" s="11"/>
    </row>
    <row r="107" spans="1:76" ht="15.7">
      <c r="A107" s="6"/>
      <c r="B107" s="7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  <c r="AZ107" s="6"/>
      <c r="BA107" s="6"/>
      <c r="BB107" s="6"/>
      <c r="BC107" s="6"/>
      <c r="BD107" s="6"/>
      <c r="BE107" s="6"/>
      <c r="BF107" s="6"/>
      <c r="BG107" s="6"/>
      <c r="BH107" s="6"/>
      <c r="BI107" s="6"/>
      <c r="BJ107" s="6"/>
      <c r="BK107" s="6"/>
      <c r="BL107" s="6"/>
      <c r="BM107" s="6"/>
      <c r="BN107" s="6"/>
      <c r="BO107" s="6"/>
      <c r="BP107" s="6"/>
      <c r="BQ107" s="6"/>
      <c r="BR107" s="6"/>
      <c r="BS107" s="6"/>
      <c r="BT107" s="6"/>
      <c r="BU107" s="6"/>
      <c r="BV107" s="6"/>
      <c r="BW107" s="6"/>
      <c r="BX107" s="11"/>
    </row>
    <row r="108" spans="1:76" ht="15.7">
      <c r="A108" s="6"/>
      <c r="B108" s="7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  <c r="AZ108" s="6"/>
      <c r="BA108" s="6"/>
      <c r="BB108" s="6"/>
      <c r="BC108" s="6"/>
      <c r="BD108" s="6"/>
      <c r="BE108" s="6"/>
      <c r="BF108" s="6"/>
      <c r="BG108" s="6"/>
      <c r="BH108" s="6"/>
      <c r="BI108" s="6"/>
      <c r="BJ108" s="6"/>
      <c r="BK108" s="6"/>
      <c r="BL108" s="6"/>
      <c r="BM108" s="6"/>
      <c r="BN108" s="6"/>
      <c r="BO108" s="6"/>
      <c r="BP108" s="6"/>
      <c r="BQ108" s="6"/>
      <c r="BR108" s="6"/>
      <c r="BS108" s="6"/>
      <c r="BT108" s="6"/>
      <c r="BU108" s="6"/>
      <c r="BV108" s="6"/>
      <c r="BW108" s="6"/>
      <c r="BX108" s="11"/>
    </row>
    <row r="109" spans="1:76" ht="15.7">
      <c r="A109" s="6"/>
      <c r="B109" s="7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  <c r="AZ109" s="6"/>
      <c r="BA109" s="6"/>
      <c r="BB109" s="6"/>
      <c r="BC109" s="6"/>
      <c r="BD109" s="6"/>
      <c r="BE109" s="6"/>
      <c r="BF109" s="6"/>
      <c r="BG109" s="6"/>
      <c r="BH109" s="6"/>
      <c r="BI109" s="6"/>
      <c r="BJ109" s="6"/>
      <c r="BK109" s="6"/>
      <c r="BL109" s="6"/>
      <c r="BM109" s="6"/>
      <c r="BN109" s="6"/>
      <c r="BO109" s="6"/>
      <c r="BP109" s="6"/>
      <c r="BQ109" s="6"/>
      <c r="BR109" s="6"/>
      <c r="BS109" s="6"/>
      <c r="BT109" s="6"/>
      <c r="BU109" s="6"/>
      <c r="BV109" s="6"/>
      <c r="BW109" s="6"/>
      <c r="BX109" s="11"/>
    </row>
    <row r="110" spans="1:76" ht="15.7">
      <c r="A110" s="6"/>
      <c r="B110" s="7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  <c r="AZ110" s="6"/>
      <c r="BA110" s="6"/>
      <c r="BB110" s="6"/>
      <c r="BC110" s="6"/>
      <c r="BD110" s="6"/>
      <c r="BE110" s="6"/>
      <c r="BF110" s="6"/>
      <c r="BG110" s="6"/>
      <c r="BH110" s="6"/>
      <c r="BI110" s="6"/>
      <c r="BJ110" s="6"/>
      <c r="BK110" s="6"/>
      <c r="BL110" s="6"/>
      <c r="BM110" s="6"/>
      <c r="BN110" s="6"/>
      <c r="BO110" s="6"/>
      <c r="BP110" s="6"/>
      <c r="BQ110" s="6"/>
      <c r="BR110" s="6"/>
      <c r="BS110" s="6"/>
      <c r="BT110" s="6"/>
      <c r="BU110" s="6"/>
      <c r="BV110" s="6"/>
      <c r="BW110" s="6"/>
      <c r="BX110" s="11"/>
    </row>
    <row r="111" spans="1:76" ht="15.7">
      <c r="A111" s="6"/>
      <c r="B111" s="7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  <c r="AZ111" s="6"/>
      <c r="BA111" s="6"/>
      <c r="BB111" s="6"/>
      <c r="BC111" s="6"/>
      <c r="BD111" s="6"/>
      <c r="BE111" s="6"/>
      <c r="BF111" s="6"/>
      <c r="BG111" s="6"/>
      <c r="BH111" s="6"/>
      <c r="BI111" s="6"/>
      <c r="BJ111" s="6"/>
      <c r="BK111" s="6"/>
      <c r="BL111" s="6"/>
      <c r="BM111" s="6"/>
      <c r="BN111" s="6"/>
      <c r="BO111" s="6"/>
      <c r="BP111" s="6"/>
      <c r="BQ111" s="6"/>
      <c r="BR111" s="6"/>
      <c r="BS111" s="6"/>
      <c r="BT111" s="6"/>
      <c r="BU111" s="6"/>
      <c r="BV111" s="6"/>
      <c r="BW111" s="6"/>
      <c r="BX111" s="11"/>
    </row>
    <row r="112" spans="1:76" ht="15.7">
      <c r="A112" s="6"/>
      <c r="B112" s="7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  <c r="AZ112" s="6"/>
      <c r="BA112" s="6"/>
      <c r="BB112" s="6"/>
      <c r="BC112" s="6"/>
      <c r="BD112" s="6"/>
      <c r="BE112" s="6"/>
      <c r="BF112" s="6"/>
      <c r="BG112" s="6"/>
      <c r="BH112" s="6"/>
      <c r="BI112" s="6"/>
      <c r="BJ112" s="6"/>
      <c r="BK112" s="6"/>
      <c r="BL112" s="6"/>
      <c r="BM112" s="6"/>
      <c r="BN112" s="6"/>
      <c r="BO112" s="6"/>
      <c r="BP112" s="6"/>
      <c r="BQ112" s="6"/>
      <c r="BR112" s="6"/>
      <c r="BS112" s="6"/>
      <c r="BT112" s="6"/>
      <c r="BU112" s="6"/>
      <c r="BV112" s="6"/>
      <c r="BW112" s="6"/>
      <c r="BX112" s="11"/>
    </row>
    <row r="113" spans="1:76" ht="15.7">
      <c r="A113" s="6"/>
      <c r="B113" s="7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  <c r="AZ113" s="6"/>
      <c r="BA113" s="6"/>
      <c r="BB113" s="6"/>
      <c r="BC113" s="6"/>
      <c r="BD113" s="6"/>
      <c r="BE113" s="6"/>
      <c r="BF113" s="6"/>
      <c r="BG113" s="6"/>
      <c r="BH113" s="6"/>
      <c r="BI113" s="6"/>
      <c r="BJ113" s="6"/>
      <c r="BK113" s="6"/>
      <c r="BL113" s="6"/>
      <c r="BM113" s="6"/>
      <c r="BN113" s="6"/>
      <c r="BO113" s="6"/>
      <c r="BP113" s="6"/>
      <c r="BQ113" s="6"/>
      <c r="BR113" s="6"/>
      <c r="BS113" s="6"/>
      <c r="BT113" s="6"/>
      <c r="BU113" s="6"/>
      <c r="BV113" s="6"/>
      <c r="BW113" s="6"/>
      <c r="BX113" s="11"/>
    </row>
    <row r="114" spans="1:76" ht="15.7">
      <c r="A114" s="6"/>
      <c r="B114" s="7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  <c r="AZ114" s="6"/>
      <c r="BA114" s="6"/>
      <c r="BB114" s="6"/>
      <c r="BC114" s="6"/>
      <c r="BD114" s="6"/>
      <c r="BE114" s="6"/>
      <c r="BF114" s="6"/>
      <c r="BG114" s="6"/>
      <c r="BH114" s="6"/>
      <c r="BI114" s="6"/>
      <c r="BJ114" s="6"/>
      <c r="BK114" s="6"/>
      <c r="BL114" s="6"/>
      <c r="BM114" s="6"/>
      <c r="BN114" s="6"/>
      <c r="BO114" s="6"/>
      <c r="BP114" s="6"/>
      <c r="BQ114" s="6"/>
      <c r="BR114" s="6"/>
      <c r="BS114" s="6"/>
      <c r="BT114" s="6"/>
      <c r="BU114" s="6"/>
      <c r="BV114" s="6"/>
      <c r="BW114" s="6"/>
      <c r="BX114" s="11"/>
    </row>
    <row r="115" spans="1:76" ht="15.7">
      <c r="A115" s="6"/>
      <c r="B115" s="7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  <c r="AZ115" s="6"/>
      <c r="BA115" s="6"/>
      <c r="BB115" s="6"/>
      <c r="BC115" s="6"/>
      <c r="BD115" s="6"/>
      <c r="BE115" s="6"/>
      <c r="BF115" s="6"/>
      <c r="BG115" s="6"/>
      <c r="BH115" s="6"/>
      <c r="BI115" s="6"/>
      <c r="BJ115" s="6"/>
      <c r="BK115" s="6"/>
      <c r="BL115" s="6"/>
      <c r="BM115" s="6"/>
      <c r="BN115" s="6"/>
      <c r="BO115" s="6"/>
      <c r="BP115" s="6"/>
      <c r="BQ115" s="6"/>
      <c r="BR115" s="6"/>
      <c r="BS115" s="6"/>
      <c r="BT115" s="6"/>
      <c r="BU115" s="6"/>
      <c r="BV115" s="6"/>
      <c r="BW115" s="6"/>
      <c r="BX115" s="11"/>
    </row>
    <row r="116" spans="1:76" ht="15.7">
      <c r="A116" s="6"/>
      <c r="B116" s="7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  <c r="AZ116" s="6"/>
      <c r="BA116" s="6"/>
      <c r="BB116" s="6"/>
      <c r="BC116" s="6"/>
      <c r="BD116" s="6"/>
      <c r="BE116" s="6"/>
      <c r="BF116" s="6"/>
      <c r="BG116" s="6"/>
      <c r="BH116" s="6"/>
      <c r="BI116" s="6"/>
      <c r="BJ116" s="6"/>
      <c r="BK116" s="6"/>
      <c r="BL116" s="6"/>
      <c r="BM116" s="6"/>
      <c r="BN116" s="6"/>
      <c r="BO116" s="6"/>
      <c r="BP116" s="6"/>
      <c r="BQ116" s="6"/>
      <c r="BR116" s="6"/>
      <c r="BS116" s="6"/>
      <c r="BT116" s="6"/>
      <c r="BU116" s="6"/>
      <c r="BV116" s="6"/>
      <c r="BW116" s="6"/>
      <c r="BX116" s="11"/>
    </row>
    <row r="117" spans="1:76" ht="15.7">
      <c r="A117" s="6"/>
      <c r="B117" s="7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  <c r="AZ117" s="6"/>
      <c r="BA117" s="6"/>
      <c r="BB117" s="6"/>
      <c r="BC117" s="6"/>
      <c r="BD117" s="6"/>
      <c r="BE117" s="6"/>
      <c r="BF117" s="6"/>
      <c r="BG117" s="6"/>
      <c r="BH117" s="6"/>
      <c r="BI117" s="6"/>
      <c r="BJ117" s="6"/>
      <c r="BK117" s="6"/>
      <c r="BL117" s="6"/>
      <c r="BM117" s="6"/>
      <c r="BN117" s="6"/>
      <c r="BO117" s="6"/>
      <c r="BP117" s="6"/>
      <c r="BQ117" s="6"/>
      <c r="BR117" s="6"/>
      <c r="BS117" s="6"/>
      <c r="BT117" s="6"/>
      <c r="BU117" s="6"/>
      <c r="BV117" s="6"/>
      <c r="BW117" s="6"/>
      <c r="BX117" s="11"/>
    </row>
    <row r="118" spans="1:76" ht="15.7">
      <c r="A118" s="6"/>
      <c r="B118" s="7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  <c r="AZ118" s="6"/>
      <c r="BA118" s="6"/>
      <c r="BB118" s="6"/>
      <c r="BC118" s="6"/>
      <c r="BD118" s="6"/>
      <c r="BE118" s="6"/>
      <c r="BF118" s="6"/>
      <c r="BG118" s="6"/>
      <c r="BH118" s="6"/>
      <c r="BI118" s="6"/>
      <c r="BJ118" s="6"/>
      <c r="BK118" s="6"/>
      <c r="BL118" s="6"/>
      <c r="BM118" s="6"/>
      <c r="BN118" s="6"/>
      <c r="BO118" s="6"/>
      <c r="BP118" s="6"/>
      <c r="BQ118" s="6"/>
      <c r="BR118" s="6"/>
      <c r="BS118" s="6"/>
      <c r="BT118" s="6"/>
      <c r="BU118" s="6"/>
      <c r="BV118" s="6"/>
      <c r="BW118" s="6"/>
      <c r="BX118" s="11"/>
    </row>
    <row r="119" spans="1:76" ht="15.7">
      <c r="A119" s="6"/>
      <c r="B119" s="7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  <c r="AZ119" s="6"/>
      <c r="BA119" s="6"/>
      <c r="BB119" s="6"/>
      <c r="BC119" s="6"/>
      <c r="BD119" s="6"/>
      <c r="BE119" s="6"/>
      <c r="BF119" s="6"/>
      <c r="BG119" s="6"/>
      <c r="BH119" s="6"/>
      <c r="BI119" s="6"/>
      <c r="BJ119" s="6"/>
      <c r="BK119" s="6"/>
      <c r="BL119" s="6"/>
      <c r="BM119" s="6"/>
      <c r="BN119" s="6"/>
      <c r="BO119" s="6"/>
      <c r="BP119" s="6"/>
      <c r="BQ119" s="6"/>
      <c r="BR119" s="6"/>
      <c r="BS119" s="6"/>
      <c r="BT119" s="6"/>
      <c r="BU119" s="6"/>
      <c r="BV119" s="6"/>
      <c r="BW119" s="6"/>
      <c r="BX119" s="11"/>
    </row>
    <row r="120" spans="1:76" ht="15.7">
      <c r="A120" s="6"/>
      <c r="B120" s="7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  <c r="AZ120" s="6"/>
      <c r="BA120" s="6"/>
      <c r="BB120" s="6"/>
      <c r="BC120" s="6"/>
      <c r="BD120" s="6"/>
      <c r="BE120" s="6"/>
      <c r="BF120" s="6"/>
      <c r="BG120" s="6"/>
      <c r="BH120" s="6"/>
      <c r="BI120" s="6"/>
      <c r="BJ120" s="6"/>
      <c r="BK120" s="6"/>
      <c r="BL120" s="6"/>
      <c r="BM120" s="6"/>
      <c r="BN120" s="6"/>
      <c r="BO120" s="6"/>
      <c r="BP120" s="6"/>
      <c r="BQ120" s="6"/>
      <c r="BR120" s="6"/>
      <c r="BS120" s="6"/>
      <c r="BT120" s="6"/>
      <c r="BU120" s="6"/>
      <c r="BV120" s="6"/>
      <c r="BW120" s="6"/>
      <c r="BX120" s="11"/>
    </row>
    <row r="121" spans="1:76" ht="15.7">
      <c r="A121" s="6"/>
      <c r="B121" s="7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  <c r="AZ121" s="6"/>
      <c r="BA121" s="6"/>
      <c r="BB121" s="6"/>
      <c r="BC121" s="6"/>
      <c r="BD121" s="6"/>
      <c r="BE121" s="6"/>
      <c r="BF121" s="6"/>
      <c r="BG121" s="6"/>
      <c r="BH121" s="6"/>
      <c r="BI121" s="6"/>
      <c r="BJ121" s="6"/>
      <c r="BK121" s="6"/>
      <c r="BL121" s="6"/>
      <c r="BM121" s="6"/>
      <c r="BN121" s="6"/>
      <c r="BO121" s="6"/>
      <c r="BP121" s="6"/>
      <c r="BQ121" s="6"/>
      <c r="BR121" s="6"/>
      <c r="BS121" s="6"/>
      <c r="BT121" s="6"/>
      <c r="BU121" s="6"/>
      <c r="BV121" s="6"/>
      <c r="BW121" s="6"/>
      <c r="BX121" s="11"/>
    </row>
    <row r="122" spans="1:76" ht="15.7">
      <c r="A122" s="6"/>
      <c r="B122" s="7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  <c r="AZ122" s="6"/>
      <c r="BA122" s="6"/>
      <c r="BB122" s="6"/>
      <c r="BC122" s="6"/>
      <c r="BD122" s="6"/>
      <c r="BE122" s="6"/>
      <c r="BF122" s="6"/>
      <c r="BG122" s="6"/>
      <c r="BH122" s="6"/>
      <c r="BI122" s="6"/>
      <c r="BJ122" s="6"/>
      <c r="BK122" s="6"/>
      <c r="BL122" s="6"/>
      <c r="BM122" s="6"/>
      <c r="BN122" s="6"/>
      <c r="BO122" s="6"/>
      <c r="BP122" s="6"/>
      <c r="BQ122" s="6"/>
      <c r="BR122" s="6"/>
      <c r="BS122" s="6"/>
      <c r="BT122" s="6"/>
      <c r="BU122" s="6"/>
      <c r="BV122" s="6"/>
      <c r="BW122" s="6"/>
      <c r="BX122" s="11"/>
    </row>
    <row r="123" spans="1:76" ht="15.7">
      <c r="A123" s="6"/>
      <c r="B123" s="7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  <c r="AZ123" s="6"/>
      <c r="BA123" s="6"/>
      <c r="BB123" s="6"/>
      <c r="BC123" s="6"/>
      <c r="BD123" s="6"/>
      <c r="BE123" s="6"/>
      <c r="BF123" s="6"/>
      <c r="BG123" s="6"/>
      <c r="BH123" s="6"/>
      <c r="BI123" s="6"/>
      <c r="BJ123" s="6"/>
      <c r="BK123" s="6"/>
      <c r="BL123" s="6"/>
      <c r="BM123" s="6"/>
      <c r="BN123" s="6"/>
      <c r="BO123" s="6"/>
      <c r="BP123" s="6"/>
      <c r="BQ123" s="6"/>
      <c r="BR123" s="6"/>
      <c r="BS123" s="6"/>
      <c r="BT123" s="6"/>
      <c r="BU123" s="6"/>
      <c r="BV123" s="6"/>
      <c r="BW123" s="6"/>
      <c r="BX123" s="11"/>
    </row>
    <row r="124" spans="1:76" ht="15.7">
      <c r="A124" s="6"/>
      <c r="B124" s="7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  <c r="AZ124" s="6"/>
      <c r="BA124" s="6"/>
      <c r="BB124" s="6"/>
      <c r="BC124" s="6"/>
      <c r="BD124" s="6"/>
      <c r="BE124" s="6"/>
      <c r="BF124" s="6"/>
      <c r="BG124" s="6"/>
      <c r="BH124" s="6"/>
      <c r="BI124" s="6"/>
      <c r="BJ124" s="6"/>
      <c r="BK124" s="6"/>
      <c r="BL124" s="6"/>
      <c r="BM124" s="6"/>
      <c r="BN124" s="6"/>
      <c r="BO124" s="6"/>
      <c r="BP124" s="6"/>
      <c r="BQ124" s="6"/>
      <c r="BR124" s="6"/>
      <c r="BS124" s="6"/>
      <c r="BT124" s="6"/>
      <c r="BU124" s="6"/>
      <c r="BV124" s="6"/>
      <c r="BW124" s="6"/>
      <c r="BX124" s="11"/>
    </row>
    <row r="125" spans="1:76" ht="15.7">
      <c r="A125" s="6"/>
      <c r="B125" s="7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  <c r="AZ125" s="6"/>
      <c r="BA125" s="6"/>
      <c r="BB125" s="6"/>
      <c r="BC125" s="6"/>
      <c r="BD125" s="6"/>
      <c r="BE125" s="6"/>
      <c r="BF125" s="6"/>
      <c r="BG125" s="6"/>
      <c r="BH125" s="6"/>
      <c r="BI125" s="6"/>
      <c r="BJ125" s="6"/>
      <c r="BK125" s="6"/>
      <c r="BL125" s="6"/>
      <c r="BM125" s="6"/>
      <c r="BN125" s="6"/>
      <c r="BO125" s="6"/>
      <c r="BP125" s="6"/>
      <c r="BQ125" s="6"/>
      <c r="BR125" s="6"/>
      <c r="BS125" s="6"/>
      <c r="BT125" s="6"/>
      <c r="BU125" s="6"/>
      <c r="BV125" s="6"/>
      <c r="BW125" s="6"/>
      <c r="BX125" s="11"/>
    </row>
    <row r="126" spans="1:76" ht="15.7">
      <c r="A126" s="6"/>
      <c r="B126" s="7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  <c r="AZ126" s="6"/>
      <c r="BA126" s="6"/>
      <c r="BB126" s="6"/>
      <c r="BC126" s="6"/>
      <c r="BD126" s="6"/>
      <c r="BE126" s="6"/>
      <c r="BF126" s="6"/>
      <c r="BG126" s="6"/>
      <c r="BH126" s="6"/>
      <c r="BI126" s="6"/>
      <c r="BJ126" s="6"/>
      <c r="BK126" s="6"/>
      <c r="BL126" s="6"/>
      <c r="BM126" s="6"/>
      <c r="BN126" s="6"/>
      <c r="BO126" s="6"/>
      <c r="BP126" s="6"/>
      <c r="BQ126" s="6"/>
      <c r="BR126" s="6"/>
      <c r="BS126" s="6"/>
      <c r="BT126" s="6"/>
      <c r="BU126" s="6"/>
      <c r="BV126" s="6"/>
      <c r="BW126" s="6"/>
      <c r="BX126" s="11"/>
    </row>
    <row r="127" spans="1:76" ht="15.7">
      <c r="A127" s="6"/>
      <c r="B127" s="7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  <c r="AZ127" s="6"/>
      <c r="BA127" s="6"/>
      <c r="BB127" s="6"/>
      <c r="BC127" s="6"/>
      <c r="BD127" s="6"/>
      <c r="BE127" s="6"/>
      <c r="BF127" s="6"/>
      <c r="BG127" s="6"/>
      <c r="BH127" s="6"/>
      <c r="BI127" s="6"/>
      <c r="BJ127" s="6"/>
      <c r="BK127" s="6"/>
      <c r="BL127" s="6"/>
      <c r="BM127" s="6"/>
      <c r="BN127" s="6"/>
      <c r="BO127" s="6"/>
      <c r="BP127" s="6"/>
      <c r="BQ127" s="6"/>
      <c r="BR127" s="6"/>
      <c r="BS127" s="6"/>
      <c r="BT127" s="6"/>
      <c r="BU127" s="6"/>
      <c r="BV127" s="6"/>
      <c r="BW127" s="6"/>
      <c r="BX127" s="11"/>
    </row>
    <row r="128" spans="1:76" ht="15.7">
      <c r="A128" s="6"/>
      <c r="B128" s="7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  <c r="AZ128" s="6"/>
      <c r="BA128" s="6"/>
      <c r="BB128" s="6"/>
      <c r="BC128" s="6"/>
      <c r="BD128" s="6"/>
      <c r="BE128" s="6"/>
      <c r="BF128" s="6"/>
      <c r="BG128" s="6"/>
      <c r="BH128" s="6"/>
      <c r="BI128" s="6"/>
      <c r="BJ128" s="6"/>
      <c r="BK128" s="6"/>
      <c r="BL128" s="6"/>
      <c r="BM128" s="6"/>
      <c r="BN128" s="6"/>
      <c r="BO128" s="6"/>
      <c r="BP128" s="6"/>
      <c r="BQ128" s="6"/>
      <c r="BR128" s="6"/>
      <c r="BS128" s="6"/>
      <c r="BT128" s="6"/>
      <c r="BU128" s="6"/>
      <c r="BV128" s="6"/>
      <c r="BW128" s="6"/>
      <c r="BX128" s="11"/>
    </row>
    <row r="129" spans="1:76" ht="15.7">
      <c r="A129" s="6"/>
      <c r="B129" s="7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  <c r="AZ129" s="6"/>
      <c r="BA129" s="6"/>
      <c r="BB129" s="6"/>
      <c r="BC129" s="6"/>
      <c r="BD129" s="6"/>
      <c r="BE129" s="6"/>
      <c r="BF129" s="6"/>
      <c r="BG129" s="6"/>
      <c r="BH129" s="6"/>
      <c r="BI129" s="6"/>
      <c r="BJ129" s="6"/>
      <c r="BK129" s="6"/>
      <c r="BL129" s="6"/>
      <c r="BM129" s="6"/>
      <c r="BN129" s="6"/>
      <c r="BO129" s="6"/>
      <c r="BP129" s="6"/>
      <c r="BQ129" s="6"/>
      <c r="BR129" s="6"/>
      <c r="BS129" s="6"/>
      <c r="BT129" s="6"/>
      <c r="BU129" s="6"/>
      <c r="BV129" s="6"/>
      <c r="BW129" s="6"/>
      <c r="BX129" s="11"/>
    </row>
    <row r="130" spans="1:76" ht="15.7">
      <c r="A130" s="6"/>
      <c r="B130" s="7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  <c r="AZ130" s="6"/>
      <c r="BA130" s="6"/>
      <c r="BB130" s="6"/>
      <c r="BC130" s="6"/>
      <c r="BD130" s="6"/>
      <c r="BE130" s="6"/>
      <c r="BF130" s="6"/>
      <c r="BG130" s="6"/>
      <c r="BH130" s="6"/>
      <c r="BI130" s="6"/>
      <c r="BJ130" s="6"/>
      <c r="BK130" s="6"/>
      <c r="BL130" s="6"/>
      <c r="BM130" s="6"/>
      <c r="BN130" s="6"/>
      <c r="BO130" s="6"/>
      <c r="BP130" s="6"/>
      <c r="BQ130" s="6"/>
      <c r="BR130" s="6"/>
      <c r="BS130" s="6"/>
      <c r="BT130" s="6"/>
      <c r="BU130" s="6"/>
      <c r="BV130" s="6"/>
      <c r="BW130" s="6"/>
      <c r="BX130" s="11"/>
    </row>
    <row r="131" spans="1:76" ht="15.7">
      <c r="A131" s="6"/>
      <c r="B131" s="7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  <c r="AZ131" s="6"/>
      <c r="BA131" s="6"/>
      <c r="BB131" s="6"/>
      <c r="BC131" s="6"/>
      <c r="BD131" s="6"/>
      <c r="BE131" s="6"/>
      <c r="BF131" s="6"/>
      <c r="BG131" s="6"/>
      <c r="BH131" s="6"/>
      <c r="BI131" s="6"/>
      <c r="BJ131" s="6"/>
      <c r="BK131" s="6"/>
      <c r="BL131" s="6"/>
      <c r="BM131" s="6"/>
      <c r="BN131" s="6"/>
      <c r="BO131" s="6"/>
      <c r="BP131" s="6"/>
      <c r="BQ131" s="6"/>
      <c r="BR131" s="6"/>
      <c r="BS131" s="6"/>
      <c r="BT131" s="6"/>
      <c r="BU131" s="6"/>
      <c r="BV131" s="6"/>
      <c r="BW131" s="6"/>
      <c r="BX131" s="11"/>
    </row>
    <row r="132" spans="1:76" ht="15.7">
      <c r="A132" s="6"/>
      <c r="B132" s="7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  <c r="AZ132" s="6"/>
      <c r="BA132" s="6"/>
      <c r="BB132" s="6"/>
      <c r="BC132" s="6"/>
      <c r="BD132" s="6"/>
      <c r="BE132" s="6"/>
      <c r="BF132" s="6"/>
      <c r="BG132" s="6"/>
      <c r="BH132" s="6"/>
      <c r="BI132" s="6"/>
      <c r="BJ132" s="6"/>
      <c r="BK132" s="6"/>
      <c r="BL132" s="6"/>
      <c r="BM132" s="6"/>
      <c r="BN132" s="6"/>
      <c r="BO132" s="6"/>
      <c r="BP132" s="6"/>
      <c r="BQ132" s="6"/>
      <c r="BR132" s="6"/>
      <c r="BS132" s="6"/>
      <c r="BT132" s="6"/>
      <c r="BU132" s="6"/>
      <c r="BV132" s="6"/>
      <c r="BW132" s="6"/>
      <c r="BX132" s="11"/>
    </row>
    <row r="133" spans="1:76" ht="15.7">
      <c r="A133" s="6"/>
      <c r="B133" s="7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  <c r="AZ133" s="6"/>
      <c r="BA133" s="6"/>
      <c r="BB133" s="6"/>
      <c r="BC133" s="6"/>
      <c r="BD133" s="6"/>
      <c r="BE133" s="6"/>
      <c r="BF133" s="6"/>
      <c r="BG133" s="6"/>
      <c r="BH133" s="6"/>
      <c r="BI133" s="6"/>
      <c r="BJ133" s="6"/>
      <c r="BK133" s="6"/>
      <c r="BL133" s="6"/>
      <c r="BM133" s="6"/>
      <c r="BN133" s="6"/>
      <c r="BO133" s="6"/>
      <c r="BP133" s="6"/>
      <c r="BQ133" s="6"/>
      <c r="BR133" s="6"/>
      <c r="BS133" s="6"/>
      <c r="BT133" s="6"/>
      <c r="BU133" s="6"/>
      <c r="BV133" s="6"/>
      <c r="BW133" s="6"/>
      <c r="BX133" s="11"/>
    </row>
    <row r="134" spans="1:76" ht="15.7">
      <c r="A134" s="6"/>
      <c r="B134" s="7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  <c r="AZ134" s="6"/>
      <c r="BA134" s="6"/>
      <c r="BB134" s="6"/>
      <c r="BC134" s="6"/>
      <c r="BD134" s="6"/>
      <c r="BE134" s="6"/>
      <c r="BF134" s="6"/>
      <c r="BG134" s="6"/>
      <c r="BH134" s="6"/>
      <c r="BI134" s="6"/>
      <c r="BJ134" s="6"/>
      <c r="BK134" s="6"/>
      <c r="BL134" s="6"/>
      <c r="BM134" s="6"/>
      <c r="BN134" s="6"/>
      <c r="BO134" s="6"/>
      <c r="BP134" s="6"/>
      <c r="BQ134" s="6"/>
      <c r="BR134" s="6"/>
      <c r="BS134" s="6"/>
      <c r="BT134" s="6"/>
      <c r="BU134" s="6"/>
      <c r="BV134" s="6"/>
      <c r="BW134" s="6"/>
      <c r="BX134" s="11"/>
    </row>
    <row r="135" spans="1:76" ht="15.7">
      <c r="A135" s="6"/>
      <c r="B135" s="7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  <c r="AZ135" s="6"/>
      <c r="BA135" s="6"/>
      <c r="BB135" s="6"/>
      <c r="BC135" s="6"/>
      <c r="BD135" s="6"/>
      <c r="BE135" s="6"/>
      <c r="BF135" s="6"/>
      <c r="BG135" s="6"/>
      <c r="BH135" s="6"/>
      <c r="BI135" s="6"/>
      <c r="BJ135" s="6"/>
      <c r="BK135" s="6"/>
      <c r="BL135" s="6"/>
      <c r="BM135" s="6"/>
      <c r="BN135" s="6"/>
      <c r="BO135" s="6"/>
      <c r="BP135" s="6"/>
      <c r="BQ135" s="6"/>
      <c r="BR135" s="6"/>
      <c r="BS135" s="6"/>
      <c r="BT135" s="6"/>
      <c r="BU135" s="6"/>
      <c r="BV135" s="6"/>
      <c r="BW135" s="6"/>
      <c r="BX135" s="11"/>
    </row>
    <row r="136" spans="1:76" ht="15.7">
      <c r="A136" s="6"/>
      <c r="B136" s="7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  <c r="AZ136" s="6"/>
      <c r="BA136" s="6"/>
      <c r="BB136" s="6"/>
      <c r="BC136" s="6"/>
      <c r="BD136" s="6"/>
      <c r="BE136" s="6"/>
      <c r="BF136" s="6"/>
      <c r="BG136" s="6"/>
      <c r="BH136" s="6"/>
      <c r="BI136" s="6"/>
      <c r="BJ136" s="6"/>
      <c r="BK136" s="6"/>
      <c r="BL136" s="6"/>
      <c r="BM136" s="6"/>
      <c r="BN136" s="6"/>
      <c r="BO136" s="6"/>
      <c r="BP136" s="6"/>
      <c r="BQ136" s="6"/>
      <c r="BR136" s="6"/>
      <c r="BS136" s="6"/>
      <c r="BT136" s="6"/>
      <c r="BU136" s="6"/>
      <c r="BV136" s="6"/>
      <c r="BW136" s="6"/>
      <c r="BX136" s="11"/>
    </row>
    <row r="137" spans="1:76" ht="15.7">
      <c r="A137" s="6"/>
      <c r="B137" s="7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  <c r="AZ137" s="6"/>
      <c r="BA137" s="6"/>
      <c r="BB137" s="6"/>
      <c r="BC137" s="6"/>
      <c r="BD137" s="6"/>
      <c r="BE137" s="6"/>
      <c r="BF137" s="6"/>
      <c r="BG137" s="6"/>
      <c r="BH137" s="6"/>
      <c r="BI137" s="6"/>
      <c r="BJ137" s="6"/>
      <c r="BK137" s="6"/>
      <c r="BL137" s="6"/>
      <c r="BM137" s="6"/>
      <c r="BN137" s="6"/>
      <c r="BO137" s="6"/>
      <c r="BP137" s="6"/>
      <c r="BQ137" s="6"/>
      <c r="BR137" s="6"/>
      <c r="BS137" s="6"/>
      <c r="BT137" s="6"/>
      <c r="BU137" s="6"/>
      <c r="BV137" s="6"/>
      <c r="BW137" s="6"/>
      <c r="BX137" s="11"/>
    </row>
    <row r="138" spans="1:76" ht="15.7">
      <c r="A138" s="6"/>
      <c r="B138" s="7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  <c r="AZ138" s="6"/>
      <c r="BA138" s="6"/>
      <c r="BB138" s="6"/>
      <c r="BC138" s="6"/>
      <c r="BD138" s="6"/>
      <c r="BE138" s="6"/>
      <c r="BF138" s="6"/>
      <c r="BG138" s="6"/>
      <c r="BH138" s="6"/>
      <c r="BI138" s="6"/>
      <c r="BJ138" s="6"/>
      <c r="BK138" s="6"/>
      <c r="BL138" s="6"/>
      <c r="BM138" s="6"/>
      <c r="BN138" s="6"/>
      <c r="BO138" s="6"/>
      <c r="BP138" s="6"/>
      <c r="BQ138" s="6"/>
      <c r="BR138" s="6"/>
      <c r="BS138" s="6"/>
      <c r="BT138" s="6"/>
      <c r="BU138" s="6"/>
      <c r="BV138" s="6"/>
      <c r="BW138" s="6"/>
      <c r="BX138" s="11"/>
    </row>
    <row r="139" spans="1:76" ht="15.7">
      <c r="A139" s="6"/>
      <c r="B139" s="7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  <c r="AZ139" s="6"/>
      <c r="BA139" s="6"/>
      <c r="BB139" s="6"/>
      <c r="BC139" s="6"/>
      <c r="BD139" s="6"/>
      <c r="BE139" s="6"/>
      <c r="BF139" s="6"/>
      <c r="BG139" s="6"/>
      <c r="BH139" s="6"/>
      <c r="BI139" s="6"/>
      <c r="BJ139" s="6"/>
      <c r="BK139" s="6"/>
      <c r="BL139" s="6"/>
      <c r="BM139" s="6"/>
      <c r="BN139" s="6"/>
      <c r="BO139" s="6"/>
      <c r="BP139" s="6"/>
      <c r="BQ139" s="6"/>
      <c r="BR139" s="6"/>
      <c r="BS139" s="6"/>
      <c r="BT139" s="6"/>
      <c r="BU139" s="6"/>
      <c r="BV139" s="6"/>
      <c r="BW139" s="6"/>
      <c r="BX139" s="11"/>
    </row>
    <row r="140" spans="1:76" ht="15.7">
      <c r="A140" s="6"/>
      <c r="B140" s="7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  <c r="AZ140" s="6"/>
      <c r="BA140" s="6"/>
      <c r="BB140" s="6"/>
      <c r="BC140" s="6"/>
      <c r="BD140" s="6"/>
      <c r="BE140" s="6"/>
      <c r="BF140" s="6"/>
      <c r="BG140" s="6"/>
      <c r="BH140" s="6"/>
      <c r="BI140" s="6"/>
      <c r="BJ140" s="6"/>
      <c r="BK140" s="6"/>
      <c r="BL140" s="6"/>
      <c r="BM140" s="6"/>
      <c r="BN140" s="6"/>
      <c r="BO140" s="6"/>
      <c r="BP140" s="6"/>
      <c r="BQ140" s="6"/>
      <c r="BR140" s="6"/>
      <c r="BS140" s="6"/>
      <c r="BT140" s="6"/>
      <c r="BU140" s="6"/>
      <c r="BV140" s="6"/>
      <c r="BW140" s="6"/>
      <c r="BX140" s="11"/>
    </row>
    <row r="141" spans="1:76" ht="15.7">
      <c r="A141" s="6"/>
      <c r="B141" s="7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  <c r="AZ141" s="6"/>
      <c r="BA141" s="6"/>
      <c r="BB141" s="6"/>
      <c r="BC141" s="6"/>
      <c r="BD141" s="6"/>
      <c r="BE141" s="6"/>
      <c r="BF141" s="6"/>
      <c r="BG141" s="6"/>
      <c r="BH141" s="6"/>
      <c r="BI141" s="6"/>
      <c r="BJ141" s="6"/>
      <c r="BK141" s="6"/>
      <c r="BL141" s="6"/>
      <c r="BM141" s="6"/>
      <c r="BN141" s="6"/>
      <c r="BO141" s="6"/>
      <c r="BP141" s="6"/>
      <c r="BQ141" s="6"/>
      <c r="BR141" s="6"/>
      <c r="BS141" s="6"/>
      <c r="BT141" s="6"/>
      <c r="BU141" s="6"/>
      <c r="BV141" s="6"/>
      <c r="BW141" s="6"/>
      <c r="BX141" s="11"/>
    </row>
    <row r="142" spans="1:76" ht="15.7">
      <c r="A142" s="6"/>
      <c r="B142" s="7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  <c r="AZ142" s="6"/>
      <c r="BA142" s="6"/>
      <c r="BB142" s="6"/>
      <c r="BC142" s="6"/>
      <c r="BD142" s="6"/>
      <c r="BE142" s="6"/>
      <c r="BF142" s="6"/>
      <c r="BG142" s="6"/>
      <c r="BH142" s="6"/>
      <c r="BI142" s="6"/>
      <c r="BJ142" s="6"/>
      <c r="BK142" s="6"/>
      <c r="BL142" s="6"/>
      <c r="BM142" s="6"/>
      <c r="BN142" s="6"/>
      <c r="BO142" s="6"/>
      <c r="BP142" s="6"/>
      <c r="BQ142" s="6"/>
      <c r="BR142" s="6"/>
      <c r="BS142" s="6"/>
      <c r="BT142" s="6"/>
      <c r="BU142" s="6"/>
      <c r="BV142" s="6"/>
      <c r="BW142" s="6"/>
      <c r="BX142" s="11"/>
    </row>
    <row r="143" spans="1:76" ht="15.7">
      <c r="A143" s="6"/>
      <c r="B143" s="7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  <c r="AZ143" s="6"/>
      <c r="BA143" s="6"/>
      <c r="BB143" s="6"/>
      <c r="BC143" s="6"/>
      <c r="BD143" s="6"/>
      <c r="BE143" s="6"/>
      <c r="BF143" s="6"/>
      <c r="BG143" s="6"/>
      <c r="BH143" s="6"/>
      <c r="BI143" s="6"/>
      <c r="BJ143" s="6"/>
      <c r="BK143" s="6"/>
      <c r="BL143" s="6"/>
      <c r="BM143" s="6"/>
      <c r="BN143" s="6"/>
      <c r="BO143" s="6"/>
      <c r="BP143" s="6"/>
      <c r="BQ143" s="6"/>
      <c r="BR143" s="6"/>
      <c r="BS143" s="6"/>
      <c r="BT143" s="6"/>
      <c r="BU143" s="6"/>
      <c r="BV143" s="6"/>
      <c r="BW143" s="6"/>
      <c r="BX143" s="11"/>
    </row>
    <row r="144" spans="1:76" ht="15.7">
      <c r="A144" s="6"/>
      <c r="B144" s="7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  <c r="AZ144" s="6"/>
      <c r="BA144" s="6"/>
      <c r="BB144" s="6"/>
      <c r="BC144" s="6"/>
      <c r="BD144" s="6"/>
      <c r="BE144" s="6"/>
      <c r="BF144" s="6"/>
      <c r="BG144" s="6"/>
      <c r="BH144" s="6"/>
      <c r="BI144" s="6"/>
      <c r="BJ144" s="6"/>
      <c r="BK144" s="6"/>
      <c r="BL144" s="6"/>
      <c r="BM144" s="6"/>
      <c r="BN144" s="6"/>
      <c r="BO144" s="6"/>
      <c r="BP144" s="6"/>
      <c r="BQ144" s="6"/>
      <c r="BR144" s="6"/>
      <c r="BS144" s="6"/>
      <c r="BT144" s="6"/>
      <c r="BU144" s="6"/>
      <c r="BV144" s="6"/>
      <c r="BW144" s="6"/>
      <c r="BX144" s="11"/>
    </row>
    <row r="145" spans="1:76" ht="15.7">
      <c r="A145" s="6"/>
      <c r="B145" s="7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  <c r="AZ145" s="6"/>
      <c r="BA145" s="6"/>
      <c r="BB145" s="6"/>
      <c r="BC145" s="6"/>
      <c r="BD145" s="6"/>
      <c r="BE145" s="6"/>
      <c r="BF145" s="6"/>
      <c r="BG145" s="6"/>
      <c r="BH145" s="6"/>
      <c r="BI145" s="6"/>
      <c r="BJ145" s="6"/>
      <c r="BK145" s="6"/>
      <c r="BL145" s="6"/>
      <c r="BM145" s="6"/>
      <c r="BN145" s="6"/>
      <c r="BO145" s="6"/>
      <c r="BP145" s="6"/>
      <c r="BQ145" s="6"/>
      <c r="BR145" s="6"/>
      <c r="BS145" s="6"/>
      <c r="BT145" s="6"/>
      <c r="BU145" s="6"/>
      <c r="BV145" s="6"/>
      <c r="BW145" s="6"/>
      <c r="BX145" s="11"/>
    </row>
    <row r="146" spans="1:76" ht="15.7">
      <c r="A146" s="6"/>
      <c r="B146" s="7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  <c r="AZ146" s="6"/>
      <c r="BA146" s="6"/>
      <c r="BB146" s="6"/>
      <c r="BC146" s="6"/>
      <c r="BD146" s="6"/>
      <c r="BE146" s="6"/>
      <c r="BF146" s="6"/>
      <c r="BG146" s="6"/>
      <c r="BH146" s="6"/>
      <c r="BI146" s="6"/>
      <c r="BJ146" s="6"/>
      <c r="BK146" s="6"/>
      <c r="BL146" s="6"/>
      <c r="BM146" s="6"/>
      <c r="BN146" s="6"/>
      <c r="BO146" s="6"/>
      <c r="BP146" s="6"/>
      <c r="BQ146" s="6"/>
      <c r="BR146" s="6"/>
      <c r="BS146" s="6"/>
      <c r="BT146" s="6"/>
      <c r="BU146" s="6"/>
      <c r="BV146" s="6"/>
      <c r="BW146" s="6"/>
      <c r="BX146" s="11"/>
    </row>
    <row r="147" spans="1:76" ht="15.7">
      <c r="A147" s="6"/>
      <c r="B147" s="7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  <c r="AZ147" s="6"/>
      <c r="BA147" s="6"/>
      <c r="BB147" s="6"/>
      <c r="BC147" s="6"/>
      <c r="BD147" s="6"/>
      <c r="BE147" s="6"/>
      <c r="BF147" s="6"/>
      <c r="BG147" s="6"/>
      <c r="BH147" s="6"/>
      <c r="BI147" s="6"/>
      <c r="BJ147" s="6"/>
      <c r="BK147" s="6"/>
      <c r="BL147" s="6"/>
      <c r="BM147" s="6"/>
      <c r="BN147" s="6"/>
      <c r="BO147" s="6"/>
      <c r="BP147" s="6"/>
      <c r="BQ147" s="6"/>
      <c r="BR147" s="6"/>
      <c r="BS147" s="6"/>
      <c r="BT147" s="6"/>
      <c r="BU147" s="6"/>
      <c r="BV147" s="6"/>
      <c r="BW147" s="6"/>
      <c r="BX147" s="11"/>
    </row>
    <row r="148" spans="1:76" ht="15.7">
      <c r="A148" s="6"/>
      <c r="B148" s="7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  <c r="AZ148" s="6"/>
      <c r="BA148" s="6"/>
      <c r="BB148" s="6"/>
      <c r="BC148" s="6"/>
      <c r="BD148" s="6"/>
      <c r="BE148" s="6"/>
      <c r="BF148" s="6"/>
      <c r="BG148" s="6"/>
      <c r="BH148" s="6"/>
      <c r="BI148" s="6"/>
      <c r="BJ148" s="6"/>
      <c r="BK148" s="6"/>
      <c r="BL148" s="6"/>
      <c r="BM148" s="6"/>
      <c r="BN148" s="6"/>
      <c r="BO148" s="6"/>
      <c r="BP148" s="6"/>
      <c r="BQ148" s="6"/>
      <c r="BR148" s="6"/>
      <c r="BS148" s="6"/>
      <c r="BT148" s="6"/>
      <c r="BU148" s="6"/>
      <c r="BV148" s="6"/>
      <c r="BW148" s="6"/>
      <c r="BX148" s="11"/>
    </row>
    <row r="149" spans="1:76" ht="15.7">
      <c r="A149" s="6"/>
      <c r="B149" s="7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  <c r="AZ149" s="6"/>
      <c r="BA149" s="6"/>
      <c r="BB149" s="6"/>
      <c r="BC149" s="6"/>
      <c r="BD149" s="6"/>
      <c r="BE149" s="6"/>
      <c r="BF149" s="6"/>
      <c r="BG149" s="6"/>
      <c r="BH149" s="6"/>
      <c r="BI149" s="6"/>
      <c r="BJ149" s="6"/>
      <c r="BK149" s="6"/>
      <c r="BL149" s="6"/>
      <c r="BM149" s="6"/>
      <c r="BN149" s="6"/>
      <c r="BO149" s="6"/>
      <c r="BP149" s="6"/>
      <c r="BQ149" s="6"/>
      <c r="BR149" s="6"/>
      <c r="BS149" s="6"/>
      <c r="BT149" s="6"/>
      <c r="BU149" s="6"/>
      <c r="BV149" s="6"/>
      <c r="BW149" s="6"/>
      <c r="BX149" s="11"/>
    </row>
    <row r="150" spans="1:76" ht="15.7">
      <c r="A150" s="6"/>
      <c r="B150" s="7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  <c r="AZ150" s="6"/>
      <c r="BA150" s="6"/>
      <c r="BB150" s="6"/>
      <c r="BC150" s="6"/>
      <c r="BD150" s="6"/>
      <c r="BE150" s="6"/>
      <c r="BF150" s="6"/>
      <c r="BG150" s="6"/>
      <c r="BH150" s="6"/>
      <c r="BI150" s="6"/>
      <c r="BJ150" s="6"/>
      <c r="BK150" s="6"/>
      <c r="BL150" s="6"/>
      <c r="BM150" s="6"/>
      <c r="BN150" s="6"/>
      <c r="BO150" s="6"/>
      <c r="BP150" s="6"/>
      <c r="BQ150" s="6"/>
      <c r="BR150" s="6"/>
      <c r="BS150" s="6"/>
      <c r="BT150" s="6"/>
      <c r="BU150" s="6"/>
      <c r="BV150" s="6"/>
      <c r="BW150" s="6"/>
      <c r="BX150" s="11"/>
    </row>
    <row r="151" spans="1:76" ht="15.7">
      <c r="A151" s="6"/>
      <c r="B151" s="7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  <c r="AZ151" s="6"/>
      <c r="BA151" s="6"/>
      <c r="BB151" s="6"/>
      <c r="BC151" s="6"/>
      <c r="BD151" s="6"/>
      <c r="BE151" s="6"/>
      <c r="BF151" s="6"/>
      <c r="BG151" s="6"/>
      <c r="BH151" s="6"/>
      <c r="BI151" s="6"/>
      <c r="BJ151" s="6"/>
      <c r="BK151" s="6"/>
      <c r="BL151" s="6"/>
      <c r="BM151" s="6"/>
      <c r="BN151" s="6"/>
      <c r="BO151" s="6"/>
      <c r="BP151" s="6"/>
      <c r="BQ151" s="6"/>
      <c r="BR151" s="6"/>
      <c r="BS151" s="6"/>
      <c r="BT151" s="6"/>
      <c r="BU151" s="6"/>
      <c r="BV151" s="6"/>
      <c r="BW151" s="6"/>
      <c r="BX151" s="11"/>
    </row>
    <row r="152" spans="1:76" ht="15.7">
      <c r="A152" s="6"/>
      <c r="B152" s="7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  <c r="AZ152" s="6"/>
      <c r="BA152" s="6"/>
      <c r="BB152" s="6"/>
      <c r="BC152" s="6"/>
      <c r="BD152" s="6"/>
      <c r="BE152" s="6"/>
      <c r="BF152" s="6"/>
      <c r="BG152" s="6"/>
      <c r="BH152" s="6"/>
      <c r="BI152" s="6"/>
      <c r="BJ152" s="6"/>
      <c r="BK152" s="6"/>
      <c r="BL152" s="6"/>
      <c r="BM152" s="6"/>
      <c r="BN152" s="6"/>
      <c r="BO152" s="6"/>
      <c r="BP152" s="6"/>
      <c r="BQ152" s="6"/>
      <c r="BR152" s="6"/>
      <c r="BS152" s="6"/>
      <c r="BT152" s="6"/>
      <c r="BU152" s="6"/>
      <c r="BV152" s="6"/>
      <c r="BW152" s="6"/>
      <c r="BX152" s="11"/>
    </row>
    <row r="153" spans="1:76" ht="15.7">
      <c r="A153" s="6"/>
      <c r="B153" s="7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  <c r="AZ153" s="6"/>
      <c r="BA153" s="6"/>
      <c r="BB153" s="6"/>
      <c r="BC153" s="6"/>
      <c r="BD153" s="6"/>
      <c r="BE153" s="6"/>
      <c r="BF153" s="6"/>
      <c r="BG153" s="6"/>
      <c r="BH153" s="6"/>
      <c r="BI153" s="6"/>
      <c r="BJ153" s="6"/>
      <c r="BK153" s="6"/>
      <c r="BL153" s="6"/>
      <c r="BM153" s="6"/>
      <c r="BN153" s="6"/>
      <c r="BO153" s="6"/>
      <c r="BP153" s="6"/>
      <c r="BQ153" s="6"/>
      <c r="BR153" s="6"/>
      <c r="BS153" s="6"/>
      <c r="BT153" s="6"/>
      <c r="BU153" s="6"/>
      <c r="BV153" s="6"/>
      <c r="BW153" s="6"/>
      <c r="BX153" s="11"/>
    </row>
    <row r="154" spans="1:76" ht="15.7">
      <c r="A154" s="6"/>
      <c r="B154" s="7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  <c r="AZ154" s="6"/>
      <c r="BA154" s="6"/>
      <c r="BB154" s="6"/>
      <c r="BC154" s="6"/>
      <c r="BD154" s="6"/>
      <c r="BE154" s="6"/>
      <c r="BF154" s="6"/>
      <c r="BG154" s="6"/>
      <c r="BH154" s="6"/>
      <c r="BI154" s="6"/>
      <c r="BJ154" s="6"/>
      <c r="BK154" s="6"/>
      <c r="BL154" s="6"/>
      <c r="BM154" s="6"/>
      <c r="BN154" s="6"/>
      <c r="BO154" s="6"/>
      <c r="BP154" s="6"/>
      <c r="BQ154" s="6"/>
      <c r="BR154" s="6"/>
      <c r="BS154" s="6"/>
      <c r="BT154" s="6"/>
      <c r="BU154" s="6"/>
      <c r="BV154" s="6"/>
      <c r="BW154" s="6"/>
      <c r="BX154" s="11"/>
    </row>
    <row r="155" spans="1:76" ht="15.7">
      <c r="A155" s="6"/>
      <c r="B155" s="7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  <c r="AZ155" s="6"/>
      <c r="BA155" s="6"/>
      <c r="BB155" s="6"/>
      <c r="BC155" s="6"/>
      <c r="BD155" s="6"/>
      <c r="BE155" s="6"/>
      <c r="BF155" s="6"/>
      <c r="BG155" s="6"/>
      <c r="BH155" s="6"/>
      <c r="BI155" s="6"/>
      <c r="BJ155" s="6"/>
      <c r="BK155" s="6"/>
      <c r="BL155" s="6"/>
      <c r="BM155" s="6"/>
      <c r="BN155" s="6"/>
      <c r="BO155" s="6"/>
      <c r="BP155" s="6"/>
      <c r="BQ155" s="6"/>
      <c r="BR155" s="6"/>
      <c r="BS155" s="6"/>
      <c r="BT155" s="6"/>
      <c r="BU155" s="6"/>
      <c r="BV155" s="6"/>
      <c r="BW155" s="6"/>
      <c r="BX155" s="11"/>
    </row>
    <row r="156" spans="1:76" ht="15.7">
      <c r="A156" s="6"/>
      <c r="B156" s="7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  <c r="AZ156" s="6"/>
      <c r="BA156" s="6"/>
      <c r="BB156" s="6"/>
      <c r="BC156" s="6"/>
      <c r="BD156" s="6"/>
      <c r="BE156" s="6"/>
      <c r="BF156" s="6"/>
      <c r="BG156" s="6"/>
      <c r="BH156" s="6"/>
      <c r="BI156" s="6"/>
      <c r="BJ156" s="6"/>
      <c r="BK156" s="6"/>
      <c r="BL156" s="6"/>
      <c r="BM156" s="6"/>
      <c r="BN156" s="6"/>
      <c r="BO156" s="6"/>
      <c r="BP156" s="6"/>
      <c r="BQ156" s="6"/>
      <c r="BR156" s="6"/>
      <c r="BS156" s="6"/>
      <c r="BT156" s="6"/>
      <c r="BU156" s="6"/>
      <c r="BV156" s="6"/>
      <c r="BW156" s="6"/>
      <c r="BX156" s="11"/>
    </row>
    <row r="157" spans="1:76" ht="15.7">
      <c r="A157" s="6"/>
      <c r="B157" s="7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  <c r="AZ157" s="6"/>
      <c r="BA157" s="6"/>
      <c r="BB157" s="6"/>
      <c r="BC157" s="6"/>
      <c r="BD157" s="6"/>
      <c r="BE157" s="6"/>
      <c r="BF157" s="6"/>
      <c r="BG157" s="6"/>
      <c r="BH157" s="6"/>
      <c r="BI157" s="6"/>
      <c r="BJ157" s="6"/>
      <c r="BK157" s="6"/>
      <c r="BL157" s="6"/>
      <c r="BM157" s="6"/>
      <c r="BN157" s="6"/>
      <c r="BO157" s="6"/>
      <c r="BP157" s="6"/>
      <c r="BQ157" s="6"/>
      <c r="BR157" s="6"/>
      <c r="BS157" s="6"/>
      <c r="BT157" s="6"/>
      <c r="BU157" s="6"/>
      <c r="BV157" s="6"/>
      <c r="BW157" s="6"/>
      <c r="BX157" s="11"/>
    </row>
    <row r="158" spans="1:76" ht="15.7">
      <c r="A158" s="6"/>
      <c r="B158" s="7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  <c r="AZ158" s="6"/>
      <c r="BA158" s="6"/>
      <c r="BB158" s="6"/>
      <c r="BC158" s="6"/>
      <c r="BD158" s="6"/>
      <c r="BE158" s="6"/>
      <c r="BF158" s="6"/>
      <c r="BG158" s="6"/>
      <c r="BH158" s="6"/>
      <c r="BI158" s="6"/>
      <c r="BJ158" s="6"/>
      <c r="BK158" s="6"/>
      <c r="BL158" s="6"/>
      <c r="BM158" s="6"/>
      <c r="BN158" s="6"/>
      <c r="BO158" s="6"/>
      <c r="BP158" s="6"/>
      <c r="BQ158" s="6"/>
      <c r="BR158" s="6"/>
      <c r="BS158" s="6"/>
      <c r="BT158" s="6"/>
      <c r="BU158" s="6"/>
      <c r="BV158" s="6"/>
      <c r="BW158" s="6"/>
      <c r="BX158" s="11"/>
    </row>
    <row r="159" spans="1:76" ht="15.7">
      <c r="A159" s="6"/>
      <c r="B159" s="7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  <c r="AZ159" s="6"/>
      <c r="BA159" s="6"/>
      <c r="BB159" s="6"/>
      <c r="BC159" s="6"/>
      <c r="BD159" s="6"/>
      <c r="BE159" s="6"/>
      <c r="BF159" s="6"/>
      <c r="BG159" s="6"/>
      <c r="BH159" s="6"/>
      <c r="BI159" s="6"/>
      <c r="BJ159" s="6"/>
      <c r="BK159" s="6"/>
      <c r="BL159" s="6"/>
      <c r="BM159" s="6"/>
      <c r="BN159" s="6"/>
      <c r="BO159" s="6"/>
      <c r="BP159" s="6"/>
      <c r="BQ159" s="6"/>
      <c r="BR159" s="6"/>
      <c r="BS159" s="6"/>
      <c r="BT159" s="6"/>
      <c r="BU159" s="6"/>
      <c r="BV159" s="6"/>
      <c r="BW159" s="6"/>
      <c r="BX159" s="11"/>
    </row>
    <row r="160" spans="1:76" ht="15.7">
      <c r="A160" s="6"/>
      <c r="B160" s="7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  <c r="AZ160" s="6"/>
      <c r="BA160" s="6"/>
      <c r="BB160" s="6"/>
      <c r="BC160" s="6"/>
      <c r="BD160" s="6"/>
      <c r="BE160" s="6"/>
      <c r="BF160" s="6"/>
      <c r="BG160" s="6"/>
      <c r="BH160" s="6"/>
      <c r="BI160" s="6"/>
      <c r="BJ160" s="6"/>
      <c r="BK160" s="6"/>
      <c r="BL160" s="6"/>
      <c r="BM160" s="6"/>
      <c r="BN160" s="6"/>
      <c r="BO160" s="6"/>
      <c r="BP160" s="6"/>
      <c r="BQ160" s="6"/>
      <c r="BR160" s="6"/>
      <c r="BS160" s="6"/>
      <c r="BT160" s="6"/>
      <c r="BU160" s="6"/>
      <c r="BV160" s="6"/>
      <c r="BW160" s="6"/>
      <c r="BX160" s="11"/>
    </row>
    <row r="161" spans="1:76" ht="15.7">
      <c r="A161" s="6"/>
      <c r="B161" s="7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  <c r="AZ161" s="6"/>
      <c r="BA161" s="6"/>
      <c r="BB161" s="6"/>
      <c r="BC161" s="6"/>
      <c r="BD161" s="6"/>
      <c r="BE161" s="6"/>
      <c r="BF161" s="6"/>
      <c r="BG161" s="6"/>
      <c r="BH161" s="6"/>
      <c r="BI161" s="6"/>
      <c r="BJ161" s="6"/>
      <c r="BK161" s="6"/>
      <c r="BL161" s="6"/>
      <c r="BM161" s="6"/>
      <c r="BN161" s="6"/>
      <c r="BO161" s="6"/>
      <c r="BP161" s="6"/>
      <c r="BQ161" s="6"/>
      <c r="BR161" s="6"/>
      <c r="BS161" s="6"/>
      <c r="BT161" s="6"/>
      <c r="BU161" s="6"/>
      <c r="BV161" s="6"/>
      <c r="BW161" s="6"/>
      <c r="BX161" s="11"/>
    </row>
    <row r="162" spans="1:76" ht="15.7">
      <c r="A162" s="6"/>
      <c r="B162" s="7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  <c r="AZ162" s="6"/>
      <c r="BA162" s="6"/>
      <c r="BB162" s="6"/>
      <c r="BC162" s="6"/>
      <c r="BD162" s="6"/>
      <c r="BE162" s="6"/>
      <c r="BF162" s="6"/>
      <c r="BG162" s="6"/>
      <c r="BH162" s="6"/>
      <c r="BI162" s="6"/>
      <c r="BJ162" s="6"/>
      <c r="BK162" s="6"/>
      <c r="BL162" s="6"/>
      <c r="BM162" s="6"/>
      <c r="BN162" s="6"/>
      <c r="BO162" s="6"/>
      <c r="BP162" s="6"/>
      <c r="BQ162" s="6"/>
      <c r="BR162" s="6"/>
      <c r="BS162" s="6"/>
      <c r="BT162" s="6"/>
      <c r="BU162" s="6"/>
      <c r="BV162" s="6"/>
      <c r="BW162" s="6"/>
      <c r="BX162" s="11"/>
    </row>
    <row r="163" spans="1:76" ht="15.7">
      <c r="A163" s="6"/>
      <c r="B163" s="7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  <c r="AZ163" s="6"/>
      <c r="BA163" s="6"/>
      <c r="BB163" s="6"/>
      <c r="BC163" s="6"/>
      <c r="BD163" s="6"/>
      <c r="BE163" s="6"/>
      <c r="BF163" s="6"/>
      <c r="BG163" s="6"/>
      <c r="BH163" s="6"/>
      <c r="BI163" s="6"/>
      <c r="BJ163" s="6"/>
      <c r="BK163" s="6"/>
      <c r="BL163" s="6"/>
      <c r="BM163" s="6"/>
      <c r="BN163" s="6"/>
      <c r="BO163" s="6"/>
      <c r="BP163" s="6"/>
      <c r="BQ163" s="6"/>
      <c r="BR163" s="6"/>
      <c r="BS163" s="6"/>
      <c r="BT163" s="6"/>
      <c r="BU163" s="6"/>
      <c r="BV163" s="6"/>
      <c r="BW163" s="6"/>
      <c r="BX163" s="11"/>
    </row>
    <row r="164" spans="1:76" ht="15.7">
      <c r="A164" s="6"/>
      <c r="B164" s="7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  <c r="AZ164" s="6"/>
      <c r="BA164" s="6"/>
      <c r="BB164" s="6"/>
      <c r="BC164" s="6"/>
      <c r="BD164" s="6"/>
      <c r="BE164" s="6"/>
      <c r="BF164" s="6"/>
      <c r="BG164" s="6"/>
      <c r="BH164" s="6"/>
      <c r="BI164" s="6"/>
      <c r="BJ164" s="6"/>
      <c r="BK164" s="6"/>
      <c r="BL164" s="6"/>
      <c r="BM164" s="6"/>
      <c r="BN164" s="6"/>
      <c r="BO164" s="6"/>
      <c r="BP164" s="6"/>
      <c r="BQ164" s="6"/>
      <c r="BR164" s="6"/>
      <c r="BS164" s="6"/>
      <c r="BT164" s="6"/>
      <c r="BU164" s="6"/>
      <c r="BV164" s="6"/>
      <c r="BW164" s="6"/>
      <c r="BX164" s="11"/>
    </row>
    <row r="165" spans="1:76" ht="15.7">
      <c r="A165" s="6"/>
      <c r="B165" s="7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  <c r="AZ165" s="6"/>
      <c r="BA165" s="6"/>
      <c r="BB165" s="6"/>
      <c r="BC165" s="6"/>
      <c r="BD165" s="6"/>
      <c r="BE165" s="6"/>
      <c r="BF165" s="6"/>
      <c r="BG165" s="6"/>
      <c r="BH165" s="6"/>
      <c r="BI165" s="6"/>
      <c r="BJ165" s="6"/>
      <c r="BK165" s="6"/>
      <c r="BL165" s="6"/>
      <c r="BM165" s="6"/>
      <c r="BN165" s="6"/>
      <c r="BO165" s="6"/>
      <c r="BP165" s="6"/>
      <c r="BQ165" s="6"/>
      <c r="BR165" s="6"/>
      <c r="BS165" s="6"/>
      <c r="BT165" s="6"/>
      <c r="BU165" s="6"/>
      <c r="BV165" s="6"/>
      <c r="BW165" s="6"/>
      <c r="BX165" s="11"/>
    </row>
    <row r="166" spans="1:76" ht="15.7">
      <c r="A166" s="6"/>
      <c r="B166" s="7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  <c r="AZ166" s="6"/>
      <c r="BA166" s="6"/>
      <c r="BB166" s="6"/>
      <c r="BC166" s="6"/>
      <c r="BD166" s="6"/>
      <c r="BE166" s="6"/>
      <c r="BF166" s="6"/>
      <c r="BG166" s="6"/>
      <c r="BH166" s="6"/>
      <c r="BI166" s="6"/>
      <c r="BJ166" s="6"/>
      <c r="BK166" s="6"/>
      <c r="BL166" s="6"/>
      <c r="BM166" s="6"/>
      <c r="BN166" s="6"/>
      <c r="BO166" s="6"/>
      <c r="BP166" s="6"/>
      <c r="BQ166" s="6"/>
      <c r="BR166" s="6"/>
      <c r="BS166" s="6"/>
      <c r="BT166" s="6"/>
      <c r="BU166" s="6"/>
      <c r="BV166" s="6"/>
      <c r="BW166" s="6"/>
      <c r="BX166" s="11"/>
    </row>
    <row r="167" spans="1:76" ht="15.7">
      <c r="A167" s="6"/>
      <c r="B167" s="7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  <c r="AZ167" s="6"/>
      <c r="BA167" s="6"/>
      <c r="BB167" s="6"/>
      <c r="BC167" s="6"/>
      <c r="BD167" s="6"/>
      <c r="BE167" s="6"/>
      <c r="BF167" s="6"/>
      <c r="BG167" s="6"/>
      <c r="BH167" s="6"/>
      <c r="BI167" s="6"/>
      <c r="BJ167" s="6"/>
      <c r="BK167" s="6"/>
      <c r="BL167" s="6"/>
      <c r="BM167" s="6"/>
      <c r="BN167" s="6"/>
      <c r="BO167" s="6"/>
      <c r="BP167" s="6"/>
      <c r="BQ167" s="6"/>
      <c r="BR167" s="6"/>
      <c r="BS167" s="6"/>
      <c r="BT167" s="6"/>
      <c r="BU167" s="6"/>
      <c r="BV167" s="6"/>
      <c r="BW167" s="6"/>
      <c r="BX167" s="11"/>
    </row>
    <row r="168" spans="1:76" ht="15.7">
      <c r="A168" s="6"/>
      <c r="B168" s="7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  <c r="AZ168" s="6"/>
      <c r="BA168" s="6"/>
      <c r="BB168" s="6"/>
      <c r="BC168" s="6"/>
      <c r="BD168" s="6"/>
      <c r="BE168" s="6"/>
      <c r="BF168" s="6"/>
      <c r="BG168" s="6"/>
      <c r="BH168" s="6"/>
      <c r="BI168" s="6"/>
      <c r="BJ168" s="6"/>
      <c r="BK168" s="6"/>
      <c r="BL168" s="6"/>
      <c r="BM168" s="6"/>
      <c r="BN168" s="6"/>
      <c r="BO168" s="6"/>
      <c r="BP168" s="6"/>
      <c r="BQ168" s="6"/>
      <c r="BR168" s="6"/>
      <c r="BS168" s="6"/>
      <c r="BT168" s="6"/>
      <c r="BU168" s="6"/>
      <c r="BV168" s="6"/>
      <c r="BW168" s="6"/>
      <c r="BX168" s="11"/>
    </row>
    <row r="169" spans="1:76" ht="15.7">
      <c r="A169" s="6"/>
      <c r="B169" s="7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  <c r="AZ169" s="6"/>
      <c r="BA169" s="6"/>
      <c r="BB169" s="6"/>
      <c r="BC169" s="6"/>
      <c r="BD169" s="6"/>
      <c r="BE169" s="6"/>
      <c r="BF169" s="6"/>
      <c r="BG169" s="6"/>
      <c r="BH169" s="6"/>
      <c r="BI169" s="6"/>
      <c r="BJ169" s="6"/>
      <c r="BK169" s="6"/>
      <c r="BL169" s="6"/>
      <c r="BM169" s="6"/>
      <c r="BN169" s="6"/>
      <c r="BO169" s="6"/>
      <c r="BP169" s="6"/>
      <c r="BQ169" s="6"/>
      <c r="BR169" s="6"/>
      <c r="BS169" s="6"/>
      <c r="BT169" s="6"/>
      <c r="BU169" s="6"/>
      <c r="BV169" s="6"/>
      <c r="BW169" s="6"/>
      <c r="BX169" s="11"/>
    </row>
    <row r="170" spans="1:76" ht="15.7">
      <c r="A170" s="6"/>
      <c r="B170" s="7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  <c r="AZ170" s="6"/>
      <c r="BA170" s="6"/>
      <c r="BB170" s="6"/>
      <c r="BC170" s="6"/>
      <c r="BD170" s="6"/>
      <c r="BE170" s="6"/>
      <c r="BF170" s="6"/>
      <c r="BG170" s="6"/>
      <c r="BH170" s="6"/>
      <c r="BI170" s="6"/>
      <c r="BJ170" s="6"/>
      <c r="BK170" s="6"/>
      <c r="BL170" s="6"/>
      <c r="BM170" s="6"/>
      <c r="BN170" s="6"/>
      <c r="BO170" s="6"/>
      <c r="BP170" s="6"/>
      <c r="BQ170" s="6"/>
      <c r="BR170" s="6"/>
      <c r="BS170" s="6"/>
      <c r="BT170" s="6"/>
      <c r="BU170" s="6"/>
      <c r="BV170" s="6"/>
      <c r="BW170" s="6"/>
      <c r="BX170" s="11"/>
    </row>
    <row r="171" spans="1:76" ht="15.7">
      <c r="A171" s="6"/>
      <c r="B171" s="7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  <c r="AZ171" s="6"/>
      <c r="BA171" s="6"/>
      <c r="BB171" s="6"/>
      <c r="BC171" s="6"/>
      <c r="BD171" s="6"/>
      <c r="BE171" s="6"/>
      <c r="BF171" s="6"/>
      <c r="BG171" s="6"/>
      <c r="BH171" s="6"/>
      <c r="BI171" s="6"/>
      <c r="BJ171" s="6"/>
      <c r="BK171" s="6"/>
      <c r="BL171" s="6"/>
      <c r="BM171" s="6"/>
      <c r="BN171" s="6"/>
      <c r="BO171" s="6"/>
      <c r="BP171" s="6"/>
      <c r="BQ171" s="6"/>
      <c r="BR171" s="6"/>
      <c r="BS171" s="6"/>
      <c r="BT171" s="6"/>
      <c r="BU171" s="6"/>
      <c r="BV171" s="6"/>
      <c r="BW171" s="6"/>
      <c r="BX171" s="11"/>
    </row>
    <row r="172" spans="1:76" ht="15.7">
      <c r="A172" s="6"/>
      <c r="B172" s="7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  <c r="AZ172" s="6"/>
      <c r="BA172" s="6"/>
      <c r="BB172" s="6"/>
      <c r="BC172" s="6"/>
      <c r="BD172" s="6"/>
      <c r="BE172" s="6"/>
      <c r="BF172" s="6"/>
      <c r="BG172" s="6"/>
      <c r="BH172" s="6"/>
      <c r="BI172" s="6"/>
      <c r="BJ172" s="6"/>
      <c r="BK172" s="6"/>
      <c r="BL172" s="6"/>
      <c r="BM172" s="6"/>
      <c r="BN172" s="6"/>
      <c r="BO172" s="6"/>
      <c r="BP172" s="6"/>
      <c r="BQ172" s="6"/>
      <c r="BR172" s="6"/>
      <c r="BS172" s="6"/>
      <c r="BT172" s="6"/>
      <c r="BU172" s="6"/>
      <c r="BV172" s="6"/>
      <c r="BW172" s="6"/>
      <c r="BX172" s="11"/>
    </row>
    <row r="173" spans="1:76" ht="15.7">
      <c r="A173" s="6"/>
      <c r="B173" s="7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  <c r="AZ173" s="6"/>
      <c r="BA173" s="6"/>
      <c r="BB173" s="6"/>
      <c r="BC173" s="6"/>
      <c r="BD173" s="6"/>
      <c r="BE173" s="6"/>
      <c r="BF173" s="6"/>
      <c r="BG173" s="6"/>
      <c r="BH173" s="6"/>
      <c r="BI173" s="6"/>
      <c r="BJ173" s="6"/>
      <c r="BK173" s="6"/>
      <c r="BL173" s="6"/>
      <c r="BM173" s="6"/>
      <c r="BN173" s="6"/>
      <c r="BO173" s="6"/>
      <c r="BP173" s="6"/>
      <c r="BQ173" s="6"/>
      <c r="BR173" s="6"/>
      <c r="BS173" s="6"/>
      <c r="BT173" s="6"/>
      <c r="BU173" s="6"/>
      <c r="BV173" s="6"/>
      <c r="BW173" s="6"/>
      <c r="BX173" s="11"/>
    </row>
    <row r="174" spans="1:76" ht="15.7">
      <c r="A174" s="6"/>
      <c r="B174" s="7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  <c r="AZ174" s="6"/>
      <c r="BA174" s="6"/>
      <c r="BB174" s="6"/>
      <c r="BC174" s="6"/>
      <c r="BD174" s="6"/>
      <c r="BE174" s="6"/>
      <c r="BF174" s="6"/>
      <c r="BG174" s="6"/>
      <c r="BH174" s="6"/>
      <c r="BI174" s="6"/>
      <c r="BJ174" s="6"/>
      <c r="BK174" s="6"/>
      <c r="BL174" s="6"/>
      <c r="BM174" s="6"/>
      <c r="BN174" s="6"/>
      <c r="BO174" s="6"/>
      <c r="BP174" s="6"/>
      <c r="BQ174" s="6"/>
      <c r="BR174" s="6"/>
      <c r="BS174" s="6"/>
      <c r="BT174" s="6"/>
      <c r="BU174" s="6"/>
      <c r="BV174" s="6"/>
      <c r="BW174" s="6"/>
      <c r="BX174" s="11"/>
    </row>
    <row r="175" spans="1:76" ht="15.7">
      <c r="A175" s="6"/>
      <c r="B175" s="7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  <c r="AZ175" s="6"/>
      <c r="BA175" s="6"/>
      <c r="BB175" s="6"/>
      <c r="BC175" s="6"/>
      <c r="BD175" s="6"/>
      <c r="BE175" s="6"/>
      <c r="BF175" s="6"/>
      <c r="BG175" s="6"/>
      <c r="BH175" s="6"/>
      <c r="BI175" s="6"/>
      <c r="BJ175" s="6"/>
      <c r="BK175" s="6"/>
      <c r="BL175" s="6"/>
      <c r="BM175" s="6"/>
      <c r="BN175" s="6"/>
      <c r="BO175" s="6"/>
      <c r="BP175" s="6"/>
      <c r="BQ175" s="6"/>
      <c r="BR175" s="6"/>
      <c r="BS175" s="6"/>
      <c r="BT175" s="6"/>
      <c r="BU175" s="6"/>
      <c r="BV175" s="6"/>
      <c r="BW175" s="6"/>
      <c r="BX175" s="11"/>
    </row>
    <row r="176" spans="1:76" ht="15.7">
      <c r="A176" s="6"/>
      <c r="B176" s="7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  <c r="AZ176" s="6"/>
      <c r="BA176" s="6"/>
      <c r="BB176" s="6"/>
      <c r="BC176" s="6"/>
      <c r="BD176" s="6"/>
      <c r="BE176" s="6"/>
      <c r="BF176" s="6"/>
      <c r="BG176" s="6"/>
      <c r="BH176" s="6"/>
      <c r="BI176" s="6"/>
      <c r="BJ176" s="6"/>
      <c r="BK176" s="6"/>
      <c r="BL176" s="6"/>
      <c r="BM176" s="6"/>
      <c r="BN176" s="6"/>
      <c r="BO176" s="6"/>
      <c r="BP176" s="6"/>
      <c r="BQ176" s="6"/>
      <c r="BR176" s="6"/>
      <c r="BS176" s="6"/>
      <c r="BT176" s="6"/>
      <c r="BU176" s="6"/>
      <c r="BV176" s="6"/>
      <c r="BW176" s="6"/>
      <c r="BX176" s="11"/>
    </row>
    <row r="177" spans="1:76" ht="15.7">
      <c r="A177" s="6"/>
      <c r="B177" s="7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  <c r="AZ177" s="6"/>
      <c r="BA177" s="6"/>
      <c r="BB177" s="6"/>
      <c r="BC177" s="6"/>
      <c r="BD177" s="6"/>
      <c r="BE177" s="6"/>
      <c r="BF177" s="6"/>
      <c r="BG177" s="6"/>
      <c r="BH177" s="6"/>
      <c r="BI177" s="6"/>
      <c r="BJ177" s="6"/>
      <c r="BK177" s="6"/>
      <c r="BL177" s="6"/>
      <c r="BM177" s="6"/>
      <c r="BN177" s="6"/>
      <c r="BO177" s="6"/>
      <c r="BP177" s="6"/>
      <c r="BQ177" s="6"/>
      <c r="BR177" s="6"/>
      <c r="BS177" s="6"/>
      <c r="BT177" s="6"/>
      <c r="BU177" s="6"/>
      <c r="BV177" s="6"/>
      <c r="BW177" s="6"/>
      <c r="BX177" s="11"/>
    </row>
    <row r="178" spans="1:76" ht="15.7">
      <c r="A178" s="6"/>
      <c r="B178" s="7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  <c r="AZ178" s="6"/>
      <c r="BA178" s="6"/>
      <c r="BB178" s="6"/>
      <c r="BC178" s="6"/>
      <c r="BD178" s="6"/>
      <c r="BE178" s="6"/>
      <c r="BF178" s="6"/>
      <c r="BG178" s="6"/>
      <c r="BH178" s="6"/>
      <c r="BI178" s="6"/>
      <c r="BJ178" s="6"/>
      <c r="BK178" s="6"/>
      <c r="BL178" s="6"/>
      <c r="BM178" s="6"/>
      <c r="BN178" s="6"/>
      <c r="BO178" s="6"/>
      <c r="BP178" s="6"/>
      <c r="BQ178" s="6"/>
      <c r="BR178" s="6"/>
      <c r="BS178" s="6"/>
      <c r="BT178" s="6"/>
      <c r="BU178" s="6"/>
      <c r="BV178" s="6"/>
      <c r="BW178" s="6"/>
      <c r="BX178" s="11"/>
    </row>
    <row r="179" spans="1:76" ht="15.7">
      <c r="A179" s="6"/>
      <c r="B179" s="7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  <c r="AZ179" s="6"/>
      <c r="BA179" s="6"/>
      <c r="BB179" s="6"/>
      <c r="BC179" s="6"/>
      <c r="BD179" s="6"/>
      <c r="BE179" s="6"/>
      <c r="BF179" s="6"/>
      <c r="BG179" s="6"/>
      <c r="BH179" s="6"/>
      <c r="BI179" s="6"/>
      <c r="BJ179" s="6"/>
      <c r="BK179" s="6"/>
      <c r="BL179" s="6"/>
      <c r="BM179" s="6"/>
      <c r="BN179" s="6"/>
      <c r="BO179" s="6"/>
      <c r="BP179" s="6"/>
      <c r="BQ179" s="6"/>
      <c r="BR179" s="6"/>
      <c r="BS179" s="6"/>
      <c r="BT179" s="6"/>
      <c r="BU179" s="6"/>
      <c r="BV179" s="6"/>
      <c r="BW179" s="6"/>
      <c r="BX179" s="11"/>
    </row>
    <row r="180" spans="1:76" ht="15.7">
      <c r="A180" s="6"/>
      <c r="B180" s="7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  <c r="AZ180" s="6"/>
      <c r="BA180" s="6"/>
      <c r="BB180" s="6"/>
      <c r="BC180" s="6"/>
      <c r="BD180" s="6"/>
      <c r="BE180" s="6"/>
      <c r="BF180" s="6"/>
      <c r="BG180" s="6"/>
      <c r="BH180" s="6"/>
      <c r="BI180" s="6"/>
      <c r="BJ180" s="6"/>
      <c r="BK180" s="6"/>
      <c r="BL180" s="6"/>
      <c r="BM180" s="6"/>
      <c r="BN180" s="6"/>
      <c r="BO180" s="6"/>
      <c r="BP180" s="6"/>
      <c r="BQ180" s="6"/>
      <c r="BR180" s="6"/>
      <c r="BS180" s="6"/>
      <c r="BT180" s="6"/>
      <c r="BU180" s="6"/>
      <c r="BV180" s="6"/>
      <c r="BW180" s="6"/>
      <c r="BX180" s="11"/>
    </row>
    <row r="181" spans="1:76" ht="15.7">
      <c r="A181" s="6"/>
      <c r="B181" s="7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  <c r="AZ181" s="6"/>
      <c r="BA181" s="6"/>
      <c r="BB181" s="6"/>
      <c r="BC181" s="6"/>
      <c r="BD181" s="6"/>
      <c r="BE181" s="6"/>
      <c r="BF181" s="6"/>
      <c r="BG181" s="6"/>
      <c r="BH181" s="6"/>
      <c r="BI181" s="6"/>
      <c r="BJ181" s="6"/>
      <c r="BK181" s="6"/>
      <c r="BL181" s="6"/>
      <c r="BM181" s="6"/>
      <c r="BN181" s="6"/>
      <c r="BO181" s="6"/>
      <c r="BP181" s="6"/>
      <c r="BQ181" s="6"/>
      <c r="BR181" s="6"/>
      <c r="BS181" s="6"/>
      <c r="BT181" s="6"/>
      <c r="BU181" s="6"/>
      <c r="BV181" s="6"/>
      <c r="BW181" s="6"/>
      <c r="BX181" s="11"/>
    </row>
    <row r="182" spans="1:76" ht="15.7">
      <c r="A182" s="6"/>
      <c r="B182" s="7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  <c r="AZ182" s="6"/>
      <c r="BA182" s="6"/>
      <c r="BB182" s="6"/>
      <c r="BC182" s="6"/>
      <c r="BD182" s="6"/>
      <c r="BE182" s="6"/>
      <c r="BF182" s="6"/>
      <c r="BG182" s="6"/>
      <c r="BH182" s="6"/>
      <c r="BI182" s="6"/>
      <c r="BJ182" s="6"/>
      <c r="BK182" s="6"/>
      <c r="BL182" s="6"/>
      <c r="BM182" s="6"/>
      <c r="BN182" s="6"/>
      <c r="BO182" s="6"/>
      <c r="BP182" s="6"/>
      <c r="BQ182" s="6"/>
      <c r="BR182" s="6"/>
      <c r="BS182" s="6"/>
      <c r="BT182" s="6"/>
      <c r="BU182" s="6"/>
      <c r="BV182" s="6"/>
      <c r="BW182" s="6"/>
      <c r="BX182" s="11"/>
    </row>
    <row r="183" spans="1:76" ht="15.7">
      <c r="A183" s="6"/>
      <c r="B183" s="7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  <c r="AZ183" s="6"/>
      <c r="BA183" s="6"/>
      <c r="BB183" s="6"/>
      <c r="BC183" s="6"/>
      <c r="BD183" s="6"/>
      <c r="BE183" s="6"/>
      <c r="BF183" s="6"/>
      <c r="BG183" s="6"/>
      <c r="BH183" s="6"/>
      <c r="BI183" s="6"/>
      <c r="BJ183" s="6"/>
      <c r="BK183" s="6"/>
      <c r="BL183" s="6"/>
      <c r="BM183" s="6"/>
      <c r="BN183" s="6"/>
      <c r="BO183" s="6"/>
      <c r="BP183" s="6"/>
      <c r="BQ183" s="6"/>
      <c r="BR183" s="6"/>
      <c r="BS183" s="6"/>
      <c r="BT183" s="6"/>
      <c r="BU183" s="6"/>
      <c r="BV183" s="6"/>
      <c r="BW183" s="6"/>
      <c r="BX183" s="11"/>
    </row>
    <row r="184" spans="1:76" ht="15.7">
      <c r="A184" s="6"/>
      <c r="B184" s="7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  <c r="AZ184" s="6"/>
      <c r="BA184" s="6"/>
      <c r="BB184" s="6"/>
      <c r="BC184" s="6"/>
      <c r="BD184" s="6"/>
      <c r="BE184" s="6"/>
      <c r="BF184" s="6"/>
      <c r="BG184" s="6"/>
      <c r="BH184" s="6"/>
      <c r="BI184" s="6"/>
      <c r="BJ184" s="6"/>
      <c r="BK184" s="6"/>
      <c r="BL184" s="6"/>
      <c r="BM184" s="6"/>
      <c r="BN184" s="6"/>
      <c r="BO184" s="6"/>
      <c r="BP184" s="6"/>
      <c r="BQ184" s="6"/>
      <c r="BR184" s="6"/>
      <c r="BS184" s="6"/>
      <c r="BT184" s="6"/>
      <c r="BU184" s="6"/>
      <c r="BV184" s="6"/>
      <c r="BW184" s="6"/>
      <c r="BX184" s="11"/>
    </row>
    <row r="185" spans="1:76" ht="15.7">
      <c r="A185" s="6"/>
      <c r="B185" s="7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  <c r="AZ185" s="6"/>
      <c r="BA185" s="6"/>
      <c r="BB185" s="6"/>
      <c r="BC185" s="6"/>
      <c r="BD185" s="6"/>
      <c r="BE185" s="6"/>
      <c r="BF185" s="6"/>
      <c r="BG185" s="6"/>
      <c r="BH185" s="6"/>
      <c r="BI185" s="6"/>
      <c r="BJ185" s="6"/>
      <c r="BK185" s="6"/>
      <c r="BL185" s="6"/>
      <c r="BM185" s="6"/>
      <c r="BN185" s="6"/>
      <c r="BO185" s="6"/>
      <c r="BP185" s="6"/>
      <c r="BQ185" s="6"/>
      <c r="BR185" s="6"/>
      <c r="BS185" s="6"/>
      <c r="BT185" s="6"/>
      <c r="BU185" s="6"/>
      <c r="BV185" s="6"/>
      <c r="BW185" s="6"/>
      <c r="BX185" s="11"/>
    </row>
    <row r="186" spans="1:76" ht="15.7">
      <c r="A186" s="6"/>
      <c r="B186" s="7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  <c r="AZ186" s="6"/>
      <c r="BA186" s="6"/>
      <c r="BB186" s="6"/>
      <c r="BC186" s="6"/>
      <c r="BD186" s="6"/>
      <c r="BE186" s="6"/>
      <c r="BF186" s="6"/>
      <c r="BG186" s="6"/>
      <c r="BH186" s="6"/>
      <c r="BI186" s="6"/>
      <c r="BJ186" s="6"/>
      <c r="BK186" s="6"/>
      <c r="BL186" s="6"/>
      <c r="BM186" s="6"/>
      <c r="BN186" s="6"/>
      <c r="BO186" s="6"/>
      <c r="BP186" s="6"/>
      <c r="BQ186" s="6"/>
      <c r="BR186" s="6"/>
      <c r="BS186" s="6"/>
      <c r="BT186" s="6"/>
      <c r="BU186" s="6"/>
      <c r="BV186" s="6"/>
      <c r="BW186" s="6"/>
      <c r="BX186" s="11"/>
    </row>
    <row r="187" spans="1:76" ht="15.7">
      <c r="A187" s="6"/>
      <c r="B187" s="7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  <c r="AZ187" s="6"/>
      <c r="BA187" s="6"/>
      <c r="BB187" s="6"/>
      <c r="BC187" s="6"/>
      <c r="BD187" s="6"/>
      <c r="BE187" s="6"/>
      <c r="BF187" s="6"/>
      <c r="BG187" s="6"/>
      <c r="BH187" s="6"/>
      <c r="BI187" s="6"/>
      <c r="BJ187" s="6"/>
      <c r="BK187" s="6"/>
      <c r="BL187" s="6"/>
      <c r="BM187" s="6"/>
      <c r="BN187" s="6"/>
      <c r="BO187" s="6"/>
      <c r="BP187" s="6"/>
      <c r="BQ187" s="6"/>
      <c r="BR187" s="6"/>
      <c r="BS187" s="6"/>
      <c r="BT187" s="6"/>
      <c r="BU187" s="6"/>
      <c r="BV187" s="6"/>
      <c r="BW187" s="6"/>
      <c r="BX187" s="11"/>
    </row>
    <row r="188" spans="1:76" ht="15.7">
      <c r="A188" s="6"/>
      <c r="B188" s="7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  <c r="AZ188" s="6"/>
      <c r="BA188" s="6"/>
      <c r="BB188" s="6"/>
      <c r="BC188" s="6"/>
      <c r="BD188" s="6"/>
      <c r="BE188" s="6"/>
      <c r="BF188" s="6"/>
      <c r="BG188" s="6"/>
      <c r="BH188" s="6"/>
      <c r="BI188" s="6"/>
      <c r="BJ188" s="6"/>
      <c r="BK188" s="6"/>
      <c r="BL188" s="6"/>
      <c r="BM188" s="6"/>
      <c r="BN188" s="6"/>
      <c r="BO188" s="6"/>
      <c r="BP188" s="6"/>
      <c r="BQ188" s="6"/>
      <c r="BR188" s="6"/>
      <c r="BS188" s="6"/>
      <c r="BT188" s="6"/>
      <c r="BU188" s="6"/>
      <c r="BV188" s="6"/>
      <c r="BW188" s="6"/>
      <c r="BX188" s="11"/>
    </row>
    <row r="189" spans="1:76" ht="15.7">
      <c r="A189" s="6"/>
      <c r="B189" s="7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  <c r="AZ189" s="6"/>
      <c r="BA189" s="6"/>
      <c r="BB189" s="6"/>
      <c r="BC189" s="6"/>
      <c r="BD189" s="6"/>
      <c r="BE189" s="6"/>
      <c r="BF189" s="6"/>
      <c r="BG189" s="6"/>
      <c r="BH189" s="6"/>
      <c r="BI189" s="6"/>
      <c r="BJ189" s="6"/>
      <c r="BK189" s="6"/>
      <c r="BL189" s="6"/>
      <c r="BM189" s="6"/>
      <c r="BN189" s="6"/>
      <c r="BO189" s="6"/>
      <c r="BP189" s="6"/>
      <c r="BQ189" s="6"/>
      <c r="BR189" s="6"/>
      <c r="BS189" s="6"/>
      <c r="BT189" s="6"/>
      <c r="BU189" s="6"/>
      <c r="BV189" s="6"/>
      <c r="BW189" s="6"/>
      <c r="BX189" s="11"/>
    </row>
    <row r="190" spans="1:76" ht="15.7">
      <c r="A190" s="6"/>
      <c r="B190" s="7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  <c r="AZ190" s="6"/>
      <c r="BA190" s="6"/>
      <c r="BB190" s="6"/>
      <c r="BC190" s="6"/>
      <c r="BD190" s="6"/>
      <c r="BE190" s="6"/>
      <c r="BF190" s="6"/>
      <c r="BG190" s="6"/>
      <c r="BH190" s="6"/>
      <c r="BI190" s="6"/>
      <c r="BJ190" s="6"/>
      <c r="BK190" s="6"/>
      <c r="BL190" s="6"/>
      <c r="BM190" s="6"/>
      <c r="BN190" s="6"/>
      <c r="BO190" s="6"/>
      <c r="BP190" s="6"/>
      <c r="BQ190" s="6"/>
      <c r="BR190" s="6"/>
      <c r="BS190" s="6"/>
      <c r="BT190" s="6"/>
      <c r="BU190" s="6"/>
      <c r="BV190" s="6"/>
      <c r="BW190" s="6"/>
      <c r="BX190" s="11"/>
    </row>
    <row r="191" spans="1:76" ht="15.7">
      <c r="A191" s="6"/>
      <c r="B191" s="7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  <c r="AZ191" s="6"/>
      <c r="BA191" s="6"/>
      <c r="BB191" s="6"/>
      <c r="BC191" s="6"/>
      <c r="BD191" s="6"/>
      <c r="BE191" s="6"/>
      <c r="BF191" s="6"/>
      <c r="BG191" s="6"/>
      <c r="BH191" s="6"/>
      <c r="BI191" s="6"/>
      <c r="BJ191" s="6"/>
      <c r="BK191" s="6"/>
      <c r="BL191" s="6"/>
      <c r="BM191" s="6"/>
      <c r="BN191" s="6"/>
      <c r="BO191" s="6"/>
      <c r="BP191" s="6"/>
      <c r="BQ191" s="6"/>
      <c r="BR191" s="6"/>
      <c r="BS191" s="6"/>
      <c r="BT191" s="6"/>
      <c r="BU191" s="6"/>
      <c r="BV191" s="6"/>
      <c r="BW191" s="6"/>
      <c r="BX191" s="11"/>
    </row>
    <row r="192" spans="1:76" ht="15.7">
      <c r="A192" s="6"/>
      <c r="B192" s="7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  <c r="AZ192" s="6"/>
      <c r="BA192" s="6"/>
      <c r="BB192" s="6"/>
      <c r="BC192" s="6"/>
      <c r="BD192" s="6"/>
      <c r="BE192" s="6"/>
      <c r="BF192" s="6"/>
      <c r="BG192" s="6"/>
      <c r="BH192" s="6"/>
      <c r="BI192" s="6"/>
      <c r="BJ192" s="6"/>
      <c r="BK192" s="6"/>
      <c r="BL192" s="6"/>
      <c r="BM192" s="6"/>
      <c r="BN192" s="6"/>
      <c r="BO192" s="6"/>
      <c r="BP192" s="6"/>
      <c r="BQ192" s="6"/>
      <c r="BR192" s="6"/>
      <c r="BS192" s="6"/>
      <c r="BT192" s="6"/>
      <c r="BU192" s="6"/>
      <c r="BV192" s="6"/>
      <c r="BW192" s="6"/>
      <c r="BX192" s="11"/>
    </row>
    <row r="193" spans="1:76" ht="15.7">
      <c r="A193" s="6"/>
      <c r="B193" s="7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  <c r="AZ193" s="6"/>
      <c r="BA193" s="6"/>
      <c r="BB193" s="6"/>
      <c r="BC193" s="6"/>
      <c r="BD193" s="6"/>
      <c r="BE193" s="6"/>
      <c r="BF193" s="6"/>
      <c r="BG193" s="6"/>
      <c r="BH193" s="6"/>
      <c r="BI193" s="6"/>
      <c r="BJ193" s="6"/>
      <c r="BK193" s="6"/>
      <c r="BL193" s="6"/>
      <c r="BM193" s="6"/>
      <c r="BN193" s="6"/>
      <c r="BO193" s="6"/>
      <c r="BP193" s="6"/>
      <c r="BQ193" s="6"/>
      <c r="BR193" s="6"/>
      <c r="BS193" s="6"/>
      <c r="BT193" s="6"/>
      <c r="BU193" s="6"/>
      <c r="BV193" s="6"/>
      <c r="BW193" s="6"/>
      <c r="BX193" s="11"/>
    </row>
    <row r="194" spans="1:76" ht="15.7">
      <c r="A194" s="6"/>
      <c r="B194" s="7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  <c r="AZ194" s="6"/>
      <c r="BA194" s="6"/>
      <c r="BB194" s="6"/>
      <c r="BC194" s="6"/>
      <c r="BD194" s="6"/>
      <c r="BE194" s="6"/>
      <c r="BF194" s="6"/>
      <c r="BG194" s="6"/>
      <c r="BH194" s="6"/>
      <c r="BI194" s="6"/>
      <c r="BJ194" s="6"/>
      <c r="BK194" s="6"/>
      <c r="BL194" s="6"/>
      <c r="BM194" s="6"/>
      <c r="BN194" s="6"/>
      <c r="BO194" s="6"/>
      <c r="BP194" s="6"/>
      <c r="BQ194" s="6"/>
      <c r="BR194" s="6"/>
      <c r="BS194" s="6"/>
      <c r="BT194" s="6"/>
      <c r="BU194" s="6"/>
      <c r="BV194" s="6"/>
      <c r="BW194" s="6"/>
      <c r="BX194" s="11"/>
    </row>
    <row r="195" spans="1:76" ht="15.7">
      <c r="A195" s="6"/>
      <c r="B195" s="7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  <c r="AZ195" s="6"/>
      <c r="BA195" s="6"/>
      <c r="BB195" s="6"/>
      <c r="BC195" s="6"/>
      <c r="BD195" s="6"/>
      <c r="BE195" s="6"/>
      <c r="BF195" s="6"/>
      <c r="BG195" s="6"/>
      <c r="BH195" s="6"/>
      <c r="BI195" s="6"/>
      <c r="BJ195" s="6"/>
      <c r="BK195" s="6"/>
      <c r="BL195" s="6"/>
      <c r="BM195" s="6"/>
      <c r="BN195" s="6"/>
      <c r="BO195" s="6"/>
      <c r="BP195" s="6"/>
      <c r="BQ195" s="6"/>
      <c r="BR195" s="6"/>
      <c r="BS195" s="6"/>
      <c r="BT195" s="6"/>
      <c r="BU195" s="6"/>
      <c r="BV195" s="6"/>
      <c r="BW195" s="6"/>
      <c r="BX195" s="11"/>
    </row>
    <row r="196" spans="1:76" ht="15.7">
      <c r="A196" s="6"/>
      <c r="B196" s="7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  <c r="AZ196" s="6"/>
      <c r="BA196" s="6"/>
      <c r="BB196" s="6"/>
      <c r="BC196" s="6"/>
      <c r="BD196" s="6"/>
      <c r="BE196" s="6"/>
      <c r="BF196" s="6"/>
      <c r="BG196" s="6"/>
      <c r="BH196" s="6"/>
      <c r="BI196" s="6"/>
      <c r="BJ196" s="6"/>
      <c r="BK196" s="6"/>
      <c r="BL196" s="6"/>
      <c r="BM196" s="6"/>
      <c r="BN196" s="6"/>
      <c r="BO196" s="6"/>
      <c r="BP196" s="6"/>
      <c r="BQ196" s="6"/>
      <c r="BR196" s="6"/>
      <c r="BS196" s="6"/>
      <c r="BT196" s="6"/>
      <c r="BU196" s="6"/>
      <c r="BV196" s="6"/>
      <c r="BW196" s="6"/>
      <c r="BX196" s="11"/>
    </row>
    <row r="197" spans="1:76" ht="15.7">
      <c r="A197" s="6"/>
      <c r="B197" s="7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  <c r="AZ197" s="6"/>
      <c r="BA197" s="6"/>
      <c r="BB197" s="6"/>
      <c r="BC197" s="6"/>
      <c r="BD197" s="6"/>
      <c r="BE197" s="6"/>
      <c r="BF197" s="6"/>
      <c r="BG197" s="6"/>
      <c r="BH197" s="6"/>
      <c r="BI197" s="6"/>
      <c r="BJ197" s="6"/>
      <c r="BK197" s="6"/>
      <c r="BL197" s="6"/>
      <c r="BM197" s="6"/>
      <c r="BN197" s="6"/>
      <c r="BO197" s="6"/>
      <c r="BP197" s="6"/>
      <c r="BQ197" s="6"/>
      <c r="BR197" s="6"/>
      <c r="BS197" s="6"/>
      <c r="BT197" s="6"/>
      <c r="BU197" s="6"/>
      <c r="BV197" s="6"/>
      <c r="BW197" s="6"/>
      <c r="BX197" s="11"/>
    </row>
    <row r="198" spans="1:76" ht="15.7">
      <c r="A198" s="6"/>
      <c r="B198" s="7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  <c r="AZ198" s="6"/>
      <c r="BA198" s="6"/>
      <c r="BB198" s="6"/>
      <c r="BC198" s="6"/>
      <c r="BD198" s="6"/>
      <c r="BE198" s="6"/>
      <c r="BF198" s="6"/>
      <c r="BG198" s="6"/>
      <c r="BH198" s="6"/>
      <c r="BI198" s="6"/>
      <c r="BJ198" s="6"/>
      <c r="BK198" s="6"/>
      <c r="BL198" s="6"/>
      <c r="BM198" s="6"/>
      <c r="BN198" s="6"/>
      <c r="BO198" s="6"/>
      <c r="BP198" s="6"/>
      <c r="BQ198" s="6"/>
      <c r="BR198" s="6"/>
      <c r="BS198" s="6"/>
      <c r="BT198" s="6"/>
      <c r="BU198" s="6"/>
      <c r="BV198" s="6"/>
      <c r="BW198" s="6"/>
      <c r="BX198" s="11"/>
    </row>
    <row r="199" spans="1:76" ht="15.7">
      <c r="A199" s="6"/>
      <c r="B199" s="7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  <c r="AZ199" s="6"/>
      <c r="BA199" s="6"/>
      <c r="BB199" s="6"/>
      <c r="BC199" s="6"/>
      <c r="BD199" s="6"/>
      <c r="BE199" s="6"/>
      <c r="BF199" s="6"/>
      <c r="BG199" s="6"/>
      <c r="BH199" s="6"/>
      <c r="BI199" s="6"/>
      <c r="BJ199" s="6"/>
      <c r="BK199" s="6"/>
      <c r="BL199" s="6"/>
      <c r="BM199" s="6"/>
      <c r="BN199" s="6"/>
      <c r="BO199" s="6"/>
      <c r="BP199" s="6"/>
      <c r="BQ199" s="6"/>
      <c r="BR199" s="6"/>
      <c r="BS199" s="6"/>
      <c r="BT199" s="6"/>
      <c r="BU199" s="6"/>
      <c r="BV199" s="6"/>
      <c r="BW199" s="6"/>
      <c r="BX199" s="11"/>
    </row>
    <row r="200" spans="1:76" ht="15.7">
      <c r="A200" s="6"/>
      <c r="B200" s="7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  <c r="AZ200" s="6"/>
      <c r="BA200" s="6"/>
      <c r="BB200" s="6"/>
      <c r="BC200" s="6"/>
      <c r="BD200" s="6"/>
      <c r="BE200" s="6"/>
      <c r="BF200" s="6"/>
      <c r="BG200" s="6"/>
      <c r="BH200" s="6"/>
      <c r="BI200" s="6"/>
      <c r="BJ200" s="6"/>
      <c r="BK200" s="6"/>
      <c r="BL200" s="6"/>
      <c r="BM200" s="6"/>
      <c r="BN200" s="6"/>
      <c r="BO200" s="6"/>
      <c r="BP200" s="6"/>
      <c r="BQ200" s="6"/>
      <c r="BR200" s="6"/>
      <c r="BS200" s="6"/>
      <c r="BT200" s="6"/>
      <c r="BU200" s="6"/>
      <c r="BV200" s="6"/>
      <c r="BW200" s="6"/>
      <c r="BX200" s="11"/>
    </row>
    <row r="201" spans="1:76" ht="15.7">
      <c r="A201" s="6"/>
      <c r="B201" s="7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  <c r="AZ201" s="6"/>
      <c r="BA201" s="6"/>
      <c r="BB201" s="6"/>
      <c r="BC201" s="6"/>
      <c r="BD201" s="6"/>
      <c r="BE201" s="6"/>
      <c r="BF201" s="6"/>
      <c r="BG201" s="6"/>
      <c r="BH201" s="6"/>
      <c r="BI201" s="6"/>
      <c r="BJ201" s="6"/>
      <c r="BK201" s="6"/>
      <c r="BL201" s="6"/>
      <c r="BM201" s="6"/>
      <c r="BN201" s="6"/>
      <c r="BO201" s="6"/>
      <c r="BP201" s="6"/>
      <c r="BQ201" s="6"/>
      <c r="BR201" s="6"/>
      <c r="BS201" s="6"/>
      <c r="BT201" s="6"/>
      <c r="BU201" s="6"/>
      <c r="BV201" s="6"/>
      <c r="BW201" s="6"/>
      <c r="BX201" s="11"/>
    </row>
    <row r="202" spans="1:76" ht="15.7">
      <c r="A202" s="6"/>
      <c r="B202" s="7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  <c r="AZ202" s="6"/>
      <c r="BA202" s="6"/>
      <c r="BB202" s="6"/>
      <c r="BC202" s="6"/>
      <c r="BD202" s="6"/>
      <c r="BE202" s="6"/>
      <c r="BF202" s="6"/>
      <c r="BG202" s="6"/>
      <c r="BH202" s="6"/>
      <c r="BI202" s="6"/>
      <c r="BJ202" s="6"/>
      <c r="BK202" s="6"/>
      <c r="BL202" s="6"/>
      <c r="BM202" s="6"/>
      <c r="BN202" s="6"/>
      <c r="BO202" s="6"/>
      <c r="BP202" s="6"/>
      <c r="BQ202" s="6"/>
      <c r="BR202" s="6"/>
      <c r="BS202" s="6"/>
      <c r="BT202" s="6"/>
      <c r="BU202" s="6"/>
      <c r="BV202" s="6"/>
      <c r="BW202" s="6"/>
      <c r="BX202" s="11"/>
    </row>
    <row r="203" spans="1:76" ht="15.7">
      <c r="A203" s="6"/>
      <c r="B203" s="7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  <c r="AZ203" s="6"/>
      <c r="BA203" s="6"/>
      <c r="BB203" s="6"/>
      <c r="BC203" s="6"/>
      <c r="BD203" s="6"/>
      <c r="BE203" s="6"/>
      <c r="BF203" s="6"/>
      <c r="BG203" s="6"/>
      <c r="BH203" s="6"/>
      <c r="BI203" s="6"/>
      <c r="BJ203" s="6"/>
      <c r="BK203" s="6"/>
      <c r="BL203" s="6"/>
      <c r="BM203" s="6"/>
      <c r="BN203" s="6"/>
      <c r="BO203" s="6"/>
      <c r="BP203" s="6"/>
      <c r="BQ203" s="6"/>
      <c r="BR203" s="6"/>
      <c r="BS203" s="6"/>
      <c r="BT203" s="6"/>
      <c r="BU203" s="6"/>
      <c r="BV203" s="6"/>
      <c r="BW203" s="6"/>
      <c r="BX203" s="11"/>
    </row>
    <row r="204" spans="1:76" ht="15.7">
      <c r="A204" s="6"/>
      <c r="B204" s="7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  <c r="AZ204" s="6"/>
      <c r="BA204" s="6"/>
      <c r="BB204" s="6"/>
      <c r="BC204" s="6"/>
      <c r="BD204" s="6"/>
      <c r="BE204" s="6"/>
      <c r="BF204" s="6"/>
      <c r="BG204" s="6"/>
      <c r="BH204" s="6"/>
      <c r="BI204" s="6"/>
      <c r="BJ204" s="6"/>
      <c r="BK204" s="6"/>
      <c r="BL204" s="6"/>
      <c r="BM204" s="6"/>
      <c r="BN204" s="6"/>
      <c r="BO204" s="6"/>
      <c r="BP204" s="6"/>
      <c r="BQ204" s="6"/>
      <c r="BR204" s="6"/>
      <c r="BS204" s="6"/>
      <c r="BT204" s="6"/>
      <c r="BU204" s="6"/>
      <c r="BV204" s="6"/>
      <c r="BW204" s="6"/>
      <c r="BX204" s="11"/>
    </row>
    <row r="205" spans="1:76" ht="15.7">
      <c r="A205" s="6"/>
      <c r="B205" s="7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  <c r="AZ205" s="6"/>
      <c r="BA205" s="6"/>
      <c r="BB205" s="6"/>
      <c r="BC205" s="6"/>
      <c r="BD205" s="6"/>
      <c r="BE205" s="6"/>
      <c r="BF205" s="6"/>
      <c r="BG205" s="6"/>
      <c r="BH205" s="6"/>
      <c r="BI205" s="6"/>
      <c r="BJ205" s="6"/>
      <c r="BK205" s="6"/>
      <c r="BL205" s="6"/>
      <c r="BM205" s="6"/>
      <c r="BN205" s="6"/>
      <c r="BO205" s="6"/>
      <c r="BP205" s="6"/>
      <c r="BQ205" s="6"/>
      <c r="BR205" s="6"/>
      <c r="BS205" s="6"/>
      <c r="BT205" s="6"/>
      <c r="BU205" s="6"/>
      <c r="BV205" s="6"/>
      <c r="BW205" s="6"/>
      <c r="BX205" s="11"/>
    </row>
    <row r="206" spans="1:76" ht="15.7">
      <c r="A206" s="6"/>
      <c r="B206" s="7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  <c r="AZ206" s="6"/>
      <c r="BA206" s="6"/>
      <c r="BB206" s="6"/>
      <c r="BC206" s="6"/>
      <c r="BD206" s="6"/>
      <c r="BE206" s="6"/>
      <c r="BF206" s="6"/>
      <c r="BG206" s="6"/>
      <c r="BH206" s="6"/>
      <c r="BI206" s="6"/>
      <c r="BJ206" s="6"/>
      <c r="BK206" s="6"/>
      <c r="BL206" s="6"/>
      <c r="BM206" s="6"/>
      <c r="BN206" s="6"/>
      <c r="BO206" s="6"/>
      <c r="BP206" s="6"/>
      <c r="BQ206" s="6"/>
      <c r="BR206" s="6"/>
      <c r="BS206" s="6"/>
      <c r="BT206" s="6"/>
      <c r="BU206" s="6"/>
      <c r="BV206" s="6"/>
      <c r="BW206" s="6"/>
      <c r="BX206" s="11"/>
    </row>
    <row r="207" spans="1:76" ht="15.7">
      <c r="A207" s="6"/>
      <c r="B207" s="7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  <c r="AZ207" s="6"/>
      <c r="BA207" s="6"/>
      <c r="BB207" s="6"/>
      <c r="BC207" s="6"/>
      <c r="BD207" s="6"/>
      <c r="BE207" s="6"/>
      <c r="BF207" s="6"/>
      <c r="BG207" s="6"/>
      <c r="BH207" s="6"/>
      <c r="BI207" s="6"/>
      <c r="BJ207" s="6"/>
      <c r="BK207" s="6"/>
      <c r="BL207" s="6"/>
      <c r="BM207" s="6"/>
      <c r="BN207" s="6"/>
      <c r="BO207" s="6"/>
      <c r="BP207" s="6"/>
      <c r="BQ207" s="6"/>
      <c r="BR207" s="6"/>
      <c r="BS207" s="6"/>
      <c r="BT207" s="6"/>
      <c r="BU207" s="6"/>
      <c r="BV207" s="6"/>
      <c r="BW207" s="6"/>
      <c r="BX207" s="11"/>
    </row>
    <row r="208" spans="1:76" ht="15.7">
      <c r="A208" s="6"/>
      <c r="B208" s="7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  <c r="AZ208" s="6"/>
      <c r="BA208" s="6"/>
      <c r="BB208" s="6"/>
      <c r="BC208" s="6"/>
      <c r="BD208" s="6"/>
      <c r="BE208" s="6"/>
      <c r="BF208" s="6"/>
      <c r="BG208" s="6"/>
      <c r="BH208" s="6"/>
      <c r="BI208" s="6"/>
      <c r="BJ208" s="6"/>
      <c r="BK208" s="6"/>
      <c r="BL208" s="6"/>
      <c r="BM208" s="6"/>
      <c r="BN208" s="6"/>
      <c r="BO208" s="6"/>
      <c r="BP208" s="6"/>
      <c r="BQ208" s="6"/>
      <c r="BR208" s="6"/>
      <c r="BS208" s="6"/>
      <c r="BT208" s="6"/>
      <c r="BU208" s="6"/>
      <c r="BV208" s="6"/>
      <c r="BW208" s="6"/>
      <c r="BX208" s="11"/>
    </row>
    <row r="209" spans="1:76" ht="15.7">
      <c r="A209" s="6"/>
      <c r="B209" s="7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  <c r="AZ209" s="6"/>
      <c r="BA209" s="6"/>
      <c r="BB209" s="6"/>
      <c r="BC209" s="6"/>
      <c r="BD209" s="6"/>
      <c r="BE209" s="6"/>
      <c r="BF209" s="6"/>
      <c r="BG209" s="6"/>
      <c r="BH209" s="6"/>
      <c r="BI209" s="6"/>
      <c r="BJ209" s="6"/>
      <c r="BK209" s="6"/>
      <c r="BL209" s="6"/>
      <c r="BM209" s="6"/>
      <c r="BN209" s="6"/>
      <c r="BO209" s="6"/>
      <c r="BP209" s="6"/>
      <c r="BQ209" s="6"/>
      <c r="BR209" s="6"/>
      <c r="BS209" s="6"/>
      <c r="BT209" s="6"/>
      <c r="BU209" s="6"/>
      <c r="BV209" s="6"/>
      <c r="BW209" s="6"/>
      <c r="BX209" s="11"/>
    </row>
    <row r="210" spans="1:76" ht="15.7">
      <c r="A210" s="6"/>
      <c r="B210" s="7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  <c r="AZ210" s="6"/>
      <c r="BA210" s="6"/>
      <c r="BB210" s="6"/>
      <c r="BC210" s="6"/>
      <c r="BD210" s="6"/>
      <c r="BE210" s="6"/>
      <c r="BF210" s="6"/>
      <c r="BG210" s="6"/>
      <c r="BH210" s="6"/>
      <c r="BI210" s="6"/>
      <c r="BJ210" s="6"/>
      <c r="BK210" s="6"/>
      <c r="BL210" s="6"/>
      <c r="BM210" s="6"/>
      <c r="BN210" s="6"/>
      <c r="BO210" s="6"/>
      <c r="BP210" s="6"/>
      <c r="BQ210" s="6"/>
      <c r="BR210" s="6"/>
      <c r="BS210" s="6"/>
      <c r="BT210" s="6"/>
      <c r="BU210" s="6"/>
      <c r="BV210" s="6"/>
      <c r="BW210" s="6"/>
      <c r="BX210" s="11"/>
    </row>
    <row r="211" spans="1:76" ht="15.7">
      <c r="A211" s="6"/>
      <c r="B211" s="7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  <c r="AZ211" s="6"/>
      <c r="BA211" s="6"/>
      <c r="BB211" s="6"/>
      <c r="BC211" s="6"/>
      <c r="BD211" s="6"/>
      <c r="BE211" s="6"/>
      <c r="BF211" s="6"/>
      <c r="BG211" s="6"/>
      <c r="BH211" s="6"/>
      <c r="BI211" s="6"/>
      <c r="BJ211" s="6"/>
      <c r="BK211" s="6"/>
      <c r="BL211" s="6"/>
      <c r="BM211" s="6"/>
      <c r="BN211" s="6"/>
      <c r="BO211" s="6"/>
      <c r="BP211" s="6"/>
      <c r="BQ211" s="6"/>
      <c r="BR211" s="6"/>
      <c r="BS211" s="6"/>
      <c r="BT211" s="6"/>
      <c r="BU211" s="6"/>
      <c r="BV211" s="6"/>
      <c r="BW211" s="6"/>
      <c r="BX211" s="11"/>
    </row>
    <row r="212" spans="1:76" ht="15.7">
      <c r="A212" s="6"/>
      <c r="B212" s="7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  <c r="AZ212" s="6"/>
      <c r="BA212" s="6"/>
      <c r="BB212" s="6"/>
      <c r="BC212" s="6"/>
      <c r="BD212" s="6"/>
      <c r="BE212" s="6"/>
      <c r="BF212" s="6"/>
      <c r="BG212" s="6"/>
      <c r="BH212" s="6"/>
      <c r="BI212" s="6"/>
      <c r="BJ212" s="6"/>
      <c r="BK212" s="6"/>
      <c r="BL212" s="6"/>
      <c r="BM212" s="6"/>
      <c r="BN212" s="6"/>
      <c r="BO212" s="6"/>
      <c r="BP212" s="6"/>
      <c r="BQ212" s="6"/>
      <c r="BR212" s="6"/>
      <c r="BS212" s="6"/>
      <c r="BT212" s="6"/>
      <c r="BU212" s="6"/>
      <c r="BV212" s="6"/>
      <c r="BW212" s="6"/>
      <c r="BX212" s="11"/>
    </row>
    <row r="213" spans="1:76" ht="15.7">
      <c r="A213" s="6"/>
      <c r="B213" s="7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  <c r="AZ213" s="6"/>
      <c r="BA213" s="6"/>
      <c r="BB213" s="6"/>
      <c r="BC213" s="6"/>
      <c r="BD213" s="6"/>
      <c r="BE213" s="6"/>
      <c r="BF213" s="6"/>
      <c r="BG213" s="6"/>
      <c r="BH213" s="6"/>
      <c r="BI213" s="6"/>
      <c r="BJ213" s="6"/>
      <c r="BK213" s="6"/>
      <c r="BL213" s="6"/>
      <c r="BM213" s="6"/>
      <c r="BN213" s="6"/>
      <c r="BO213" s="6"/>
      <c r="BP213" s="6"/>
      <c r="BQ213" s="6"/>
      <c r="BR213" s="6"/>
      <c r="BS213" s="6"/>
      <c r="BT213" s="6"/>
      <c r="BU213" s="6"/>
      <c r="BV213" s="6"/>
      <c r="BW213" s="6"/>
      <c r="BX213" s="11"/>
    </row>
    <row r="214" spans="1:76" ht="15.7">
      <c r="A214" s="6"/>
      <c r="B214" s="7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  <c r="AZ214" s="6"/>
      <c r="BA214" s="6"/>
      <c r="BB214" s="6"/>
      <c r="BC214" s="6"/>
      <c r="BD214" s="6"/>
      <c r="BE214" s="6"/>
      <c r="BF214" s="6"/>
      <c r="BG214" s="6"/>
      <c r="BH214" s="6"/>
      <c r="BI214" s="6"/>
      <c r="BJ214" s="6"/>
      <c r="BK214" s="6"/>
      <c r="BL214" s="6"/>
      <c r="BM214" s="6"/>
      <c r="BN214" s="6"/>
      <c r="BO214" s="6"/>
      <c r="BP214" s="6"/>
      <c r="BQ214" s="6"/>
      <c r="BR214" s="6"/>
      <c r="BS214" s="6"/>
      <c r="BT214" s="6"/>
      <c r="BU214" s="6"/>
      <c r="BV214" s="6"/>
      <c r="BW214" s="6"/>
      <c r="BX214" s="11"/>
    </row>
    <row r="215" spans="1:76" ht="15.7">
      <c r="A215" s="6"/>
      <c r="B215" s="7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  <c r="AZ215" s="6"/>
      <c r="BA215" s="6"/>
      <c r="BB215" s="6"/>
      <c r="BC215" s="6"/>
      <c r="BD215" s="6"/>
      <c r="BE215" s="6"/>
      <c r="BF215" s="6"/>
      <c r="BG215" s="6"/>
      <c r="BH215" s="6"/>
      <c r="BI215" s="6"/>
      <c r="BJ215" s="6"/>
      <c r="BK215" s="6"/>
      <c r="BL215" s="6"/>
      <c r="BM215" s="6"/>
      <c r="BN215" s="6"/>
      <c r="BO215" s="6"/>
      <c r="BP215" s="6"/>
      <c r="BQ215" s="6"/>
      <c r="BR215" s="6"/>
      <c r="BS215" s="6"/>
      <c r="BT215" s="6"/>
      <c r="BU215" s="6"/>
      <c r="BV215" s="6"/>
      <c r="BW215" s="6"/>
      <c r="BX215" s="11"/>
    </row>
    <row r="216" spans="1:76" ht="15.7">
      <c r="A216" s="6"/>
      <c r="B216" s="7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  <c r="AZ216" s="6"/>
      <c r="BA216" s="6"/>
      <c r="BB216" s="6"/>
      <c r="BC216" s="6"/>
      <c r="BD216" s="6"/>
      <c r="BE216" s="6"/>
      <c r="BF216" s="6"/>
      <c r="BG216" s="6"/>
      <c r="BH216" s="6"/>
      <c r="BI216" s="6"/>
      <c r="BJ216" s="6"/>
      <c r="BK216" s="6"/>
      <c r="BL216" s="6"/>
      <c r="BM216" s="6"/>
      <c r="BN216" s="6"/>
      <c r="BO216" s="6"/>
      <c r="BP216" s="6"/>
      <c r="BQ216" s="6"/>
      <c r="BR216" s="6"/>
      <c r="BS216" s="6"/>
      <c r="BT216" s="6"/>
      <c r="BU216" s="6"/>
      <c r="BV216" s="6"/>
      <c r="BW216" s="6"/>
      <c r="BX216" s="11"/>
    </row>
    <row r="217" spans="1:76" ht="15.7">
      <c r="A217" s="6"/>
      <c r="B217" s="7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  <c r="AZ217" s="6"/>
      <c r="BA217" s="6"/>
      <c r="BB217" s="6"/>
      <c r="BC217" s="6"/>
      <c r="BD217" s="6"/>
      <c r="BE217" s="6"/>
      <c r="BF217" s="6"/>
      <c r="BG217" s="6"/>
      <c r="BH217" s="6"/>
      <c r="BI217" s="6"/>
      <c r="BJ217" s="6"/>
      <c r="BK217" s="6"/>
      <c r="BL217" s="6"/>
      <c r="BM217" s="6"/>
      <c r="BN217" s="6"/>
      <c r="BO217" s="6"/>
      <c r="BP217" s="6"/>
      <c r="BQ217" s="6"/>
      <c r="BR217" s="6"/>
      <c r="BS217" s="6"/>
      <c r="BT217" s="6"/>
      <c r="BU217" s="6"/>
      <c r="BV217" s="6"/>
      <c r="BW217" s="6"/>
      <c r="BX217" s="11"/>
    </row>
    <row r="218" spans="1:76" ht="15.7">
      <c r="A218" s="6"/>
      <c r="B218" s="7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  <c r="AZ218" s="6"/>
      <c r="BA218" s="6"/>
      <c r="BB218" s="6"/>
      <c r="BC218" s="6"/>
      <c r="BD218" s="6"/>
      <c r="BE218" s="6"/>
      <c r="BF218" s="6"/>
      <c r="BG218" s="6"/>
      <c r="BH218" s="6"/>
      <c r="BI218" s="6"/>
      <c r="BJ218" s="6"/>
      <c r="BK218" s="6"/>
      <c r="BL218" s="6"/>
      <c r="BM218" s="6"/>
      <c r="BN218" s="6"/>
      <c r="BO218" s="6"/>
      <c r="BP218" s="6"/>
      <c r="BQ218" s="6"/>
      <c r="BR218" s="6"/>
      <c r="BS218" s="6"/>
      <c r="BT218" s="6"/>
      <c r="BU218" s="6"/>
      <c r="BV218" s="6"/>
      <c r="BW218" s="6"/>
      <c r="BX218" s="11"/>
    </row>
    <row r="219" spans="1:76" ht="15.7">
      <c r="A219" s="6"/>
      <c r="B219" s="7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  <c r="AZ219" s="6"/>
      <c r="BA219" s="6"/>
      <c r="BB219" s="6"/>
      <c r="BC219" s="6"/>
      <c r="BD219" s="6"/>
      <c r="BE219" s="6"/>
      <c r="BF219" s="6"/>
      <c r="BG219" s="6"/>
      <c r="BH219" s="6"/>
      <c r="BI219" s="6"/>
      <c r="BJ219" s="6"/>
      <c r="BK219" s="6"/>
      <c r="BL219" s="6"/>
      <c r="BM219" s="6"/>
      <c r="BN219" s="6"/>
      <c r="BO219" s="6"/>
      <c r="BP219" s="6"/>
      <c r="BQ219" s="6"/>
      <c r="BR219" s="6"/>
      <c r="BS219" s="6"/>
      <c r="BT219" s="6"/>
      <c r="BU219" s="6"/>
      <c r="BV219" s="6"/>
      <c r="BW219" s="6"/>
      <c r="BX219" s="11"/>
    </row>
    <row r="220" spans="1:76" ht="15.7">
      <c r="A220" s="6"/>
      <c r="B220" s="7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  <c r="AZ220" s="6"/>
      <c r="BA220" s="6"/>
      <c r="BB220" s="6"/>
      <c r="BC220" s="6"/>
      <c r="BD220" s="6"/>
      <c r="BE220" s="6"/>
      <c r="BF220" s="6"/>
      <c r="BG220" s="6"/>
      <c r="BH220" s="6"/>
      <c r="BI220" s="6"/>
      <c r="BJ220" s="6"/>
      <c r="BK220" s="6"/>
      <c r="BL220" s="6"/>
      <c r="BM220" s="6"/>
      <c r="BN220" s="6"/>
      <c r="BO220" s="6"/>
      <c r="BP220" s="6"/>
      <c r="BQ220" s="6"/>
      <c r="BR220" s="6"/>
      <c r="BS220" s="6"/>
      <c r="BT220" s="6"/>
      <c r="BU220" s="6"/>
      <c r="BV220" s="6"/>
      <c r="BW220" s="6"/>
      <c r="BX220" s="11"/>
    </row>
    <row r="221" spans="1:76" ht="15.7">
      <c r="A221" s="6"/>
      <c r="B221" s="7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  <c r="AZ221" s="6"/>
      <c r="BA221" s="6"/>
      <c r="BB221" s="6"/>
      <c r="BC221" s="6"/>
      <c r="BD221" s="6"/>
      <c r="BE221" s="6"/>
      <c r="BF221" s="6"/>
      <c r="BG221" s="6"/>
      <c r="BH221" s="6"/>
      <c r="BI221" s="6"/>
      <c r="BJ221" s="6"/>
      <c r="BK221" s="6"/>
      <c r="BL221" s="6"/>
      <c r="BM221" s="6"/>
      <c r="BN221" s="6"/>
      <c r="BO221" s="6"/>
      <c r="BP221" s="6"/>
      <c r="BQ221" s="6"/>
      <c r="BR221" s="6"/>
      <c r="BS221" s="6"/>
      <c r="BT221" s="6"/>
      <c r="BU221" s="6"/>
      <c r="BV221" s="6"/>
      <c r="BW221" s="6"/>
      <c r="BX221" s="11"/>
    </row>
    <row r="222" spans="1:76" ht="15.7">
      <c r="A222" s="6"/>
      <c r="B222" s="7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  <c r="AZ222" s="6"/>
      <c r="BA222" s="6"/>
      <c r="BB222" s="6"/>
      <c r="BC222" s="6"/>
      <c r="BD222" s="6"/>
      <c r="BE222" s="6"/>
      <c r="BF222" s="6"/>
      <c r="BG222" s="6"/>
      <c r="BH222" s="6"/>
      <c r="BI222" s="6"/>
      <c r="BJ222" s="6"/>
      <c r="BK222" s="6"/>
      <c r="BL222" s="6"/>
      <c r="BM222" s="6"/>
      <c r="BN222" s="6"/>
      <c r="BO222" s="6"/>
      <c r="BP222" s="6"/>
      <c r="BQ222" s="6"/>
      <c r="BR222" s="6"/>
      <c r="BS222" s="6"/>
      <c r="BT222" s="6"/>
      <c r="BU222" s="6"/>
      <c r="BV222" s="6"/>
      <c r="BW222" s="6"/>
      <c r="BX222" s="11"/>
    </row>
    <row r="223" spans="1:76" ht="15.7">
      <c r="A223" s="6"/>
      <c r="B223" s="7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  <c r="AZ223" s="6"/>
      <c r="BA223" s="6"/>
      <c r="BB223" s="6"/>
      <c r="BC223" s="6"/>
      <c r="BD223" s="6"/>
      <c r="BE223" s="6"/>
      <c r="BF223" s="6"/>
      <c r="BG223" s="6"/>
      <c r="BH223" s="6"/>
      <c r="BI223" s="6"/>
      <c r="BJ223" s="6"/>
      <c r="BK223" s="6"/>
      <c r="BL223" s="6"/>
      <c r="BM223" s="6"/>
      <c r="BN223" s="6"/>
      <c r="BO223" s="6"/>
      <c r="BP223" s="6"/>
      <c r="BQ223" s="6"/>
      <c r="BR223" s="6"/>
      <c r="BS223" s="6"/>
      <c r="BT223" s="6"/>
      <c r="BU223" s="6"/>
      <c r="BV223" s="6"/>
      <c r="BW223" s="6"/>
      <c r="BX223" s="11"/>
    </row>
    <row r="224" spans="1:76" ht="15.7">
      <c r="A224" s="6"/>
      <c r="B224" s="7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  <c r="AZ224" s="6"/>
      <c r="BA224" s="6"/>
      <c r="BB224" s="6"/>
      <c r="BC224" s="6"/>
      <c r="BD224" s="6"/>
      <c r="BE224" s="6"/>
      <c r="BF224" s="6"/>
      <c r="BG224" s="6"/>
      <c r="BH224" s="6"/>
      <c r="BI224" s="6"/>
      <c r="BJ224" s="6"/>
      <c r="BK224" s="6"/>
      <c r="BL224" s="6"/>
      <c r="BM224" s="6"/>
      <c r="BN224" s="6"/>
      <c r="BO224" s="6"/>
      <c r="BP224" s="6"/>
      <c r="BQ224" s="6"/>
      <c r="BR224" s="6"/>
      <c r="BS224" s="6"/>
      <c r="BT224" s="6"/>
      <c r="BU224" s="6"/>
      <c r="BV224" s="6"/>
      <c r="BW224" s="6"/>
      <c r="BX224" s="11"/>
    </row>
    <row r="225" spans="1:76" ht="15.7">
      <c r="A225" s="6"/>
      <c r="B225" s="7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  <c r="AZ225" s="6"/>
      <c r="BA225" s="6"/>
      <c r="BB225" s="6"/>
      <c r="BC225" s="6"/>
      <c r="BD225" s="6"/>
      <c r="BE225" s="6"/>
      <c r="BF225" s="6"/>
      <c r="BG225" s="6"/>
      <c r="BH225" s="6"/>
      <c r="BI225" s="6"/>
      <c r="BJ225" s="6"/>
      <c r="BK225" s="6"/>
      <c r="BL225" s="6"/>
      <c r="BM225" s="6"/>
      <c r="BN225" s="6"/>
      <c r="BO225" s="6"/>
      <c r="BP225" s="6"/>
      <c r="BQ225" s="6"/>
      <c r="BR225" s="6"/>
      <c r="BS225" s="6"/>
      <c r="BT225" s="6"/>
      <c r="BU225" s="6"/>
      <c r="BV225" s="6"/>
      <c r="BW225" s="6"/>
      <c r="BX225" s="11"/>
    </row>
    <row r="226" spans="1:76" ht="15.7">
      <c r="A226" s="6"/>
      <c r="B226" s="7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  <c r="AZ226" s="6"/>
      <c r="BA226" s="6"/>
      <c r="BB226" s="6"/>
      <c r="BC226" s="6"/>
      <c r="BD226" s="6"/>
      <c r="BE226" s="6"/>
      <c r="BF226" s="6"/>
      <c r="BG226" s="6"/>
      <c r="BH226" s="6"/>
      <c r="BI226" s="6"/>
      <c r="BJ226" s="6"/>
      <c r="BK226" s="6"/>
      <c r="BL226" s="6"/>
      <c r="BM226" s="6"/>
      <c r="BN226" s="6"/>
      <c r="BO226" s="6"/>
      <c r="BP226" s="6"/>
      <c r="BQ226" s="6"/>
      <c r="BR226" s="6"/>
      <c r="BS226" s="6"/>
      <c r="BT226" s="6"/>
      <c r="BU226" s="6"/>
      <c r="BV226" s="6"/>
      <c r="BW226" s="6"/>
      <c r="BX226" s="11"/>
    </row>
    <row r="227" spans="1:76" ht="15.7">
      <c r="A227" s="6"/>
      <c r="B227" s="7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  <c r="AZ227" s="6"/>
      <c r="BA227" s="6"/>
      <c r="BB227" s="6"/>
      <c r="BC227" s="6"/>
      <c r="BD227" s="6"/>
      <c r="BE227" s="6"/>
      <c r="BF227" s="6"/>
      <c r="BG227" s="6"/>
      <c r="BH227" s="6"/>
      <c r="BI227" s="6"/>
      <c r="BJ227" s="6"/>
      <c r="BK227" s="6"/>
      <c r="BL227" s="6"/>
      <c r="BM227" s="6"/>
      <c r="BN227" s="6"/>
      <c r="BO227" s="6"/>
      <c r="BP227" s="6"/>
      <c r="BQ227" s="6"/>
      <c r="BR227" s="6"/>
      <c r="BS227" s="6"/>
      <c r="BT227" s="6"/>
      <c r="BU227" s="6"/>
      <c r="BV227" s="6"/>
      <c r="BW227" s="6"/>
      <c r="BX227" s="11"/>
    </row>
    <row r="228" spans="1:76" ht="15.7">
      <c r="A228" s="6"/>
      <c r="B228" s="7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  <c r="AZ228" s="6"/>
      <c r="BA228" s="6"/>
      <c r="BB228" s="6"/>
      <c r="BC228" s="6"/>
      <c r="BD228" s="6"/>
      <c r="BE228" s="6"/>
      <c r="BF228" s="6"/>
      <c r="BG228" s="6"/>
      <c r="BH228" s="6"/>
      <c r="BI228" s="6"/>
      <c r="BJ228" s="6"/>
      <c r="BK228" s="6"/>
      <c r="BL228" s="6"/>
      <c r="BM228" s="6"/>
      <c r="BN228" s="6"/>
      <c r="BO228" s="6"/>
      <c r="BP228" s="6"/>
      <c r="BQ228" s="6"/>
      <c r="BR228" s="6"/>
      <c r="BS228" s="6"/>
      <c r="BT228" s="6"/>
      <c r="BU228" s="6"/>
      <c r="BV228" s="6"/>
      <c r="BW228" s="6"/>
      <c r="BX228" s="11"/>
    </row>
    <row r="229" spans="1:76" ht="15.7">
      <c r="A229" s="6"/>
      <c r="B229" s="7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  <c r="AZ229" s="6"/>
      <c r="BA229" s="6"/>
      <c r="BB229" s="6"/>
      <c r="BC229" s="6"/>
      <c r="BD229" s="6"/>
      <c r="BE229" s="6"/>
      <c r="BF229" s="6"/>
      <c r="BG229" s="6"/>
      <c r="BH229" s="6"/>
      <c r="BI229" s="6"/>
      <c r="BJ229" s="6"/>
      <c r="BK229" s="6"/>
      <c r="BL229" s="6"/>
      <c r="BM229" s="6"/>
      <c r="BN229" s="6"/>
      <c r="BO229" s="6"/>
      <c r="BP229" s="6"/>
      <c r="BQ229" s="6"/>
      <c r="BR229" s="6"/>
      <c r="BS229" s="6"/>
      <c r="BT229" s="6"/>
      <c r="BU229" s="6"/>
      <c r="BV229" s="6"/>
      <c r="BW229" s="6"/>
      <c r="BX229" s="11"/>
    </row>
    <row r="230" spans="1:76" ht="15.7">
      <c r="A230" s="6"/>
      <c r="B230" s="7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  <c r="AZ230" s="6"/>
      <c r="BA230" s="6"/>
      <c r="BB230" s="6"/>
      <c r="BC230" s="6"/>
      <c r="BD230" s="6"/>
      <c r="BE230" s="6"/>
      <c r="BF230" s="6"/>
      <c r="BG230" s="6"/>
      <c r="BH230" s="6"/>
      <c r="BI230" s="6"/>
      <c r="BJ230" s="6"/>
      <c r="BK230" s="6"/>
      <c r="BL230" s="6"/>
      <c r="BM230" s="6"/>
      <c r="BN230" s="6"/>
      <c r="BO230" s="6"/>
      <c r="BP230" s="6"/>
      <c r="BQ230" s="6"/>
      <c r="BR230" s="6"/>
      <c r="BS230" s="6"/>
      <c r="BT230" s="6"/>
      <c r="BU230" s="6"/>
      <c r="BV230" s="6"/>
      <c r="BW230" s="6"/>
      <c r="BX230" s="11"/>
    </row>
    <row r="231" spans="1:76" ht="15.7">
      <c r="A231" s="6"/>
      <c r="B231" s="7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  <c r="AZ231" s="6"/>
      <c r="BA231" s="6"/>
      <c r="BB231" s="6"/>
      <c r="BC231" s="6"/>
      <c r="BD231" s="6"/>
      <c r="BE231" s="6"/>
      <c r="BF231" s="6"/>
      <c r="BG231" s="6"/>
      <c r="BH231" s="6"/>
      <c r="BI231" s="6"/>
      <c r="BJ231" s="6"/>
      <c r="BK231" s="6"/>
      <c r="BL231" s="6"/>
      <c r="BM231" s="6"/>
      <c r="BN231" s="6"/>
      <c r="BO231" s="6"/>
      <c r="BP231" s="6"/>
      <c r="BQ231" s="6"/>
      <c r="BR231" s="6"/>
      <c r="BS231" s="6"/>
      <c r="BT231" s="6"/>
      <c r="BU231" s="6"/>
      <c r="BV231" s="6"/>
      <c r="BW231" s="6"/>
      <c r="BX231" s="11"/>
    </row>
    <row r="232" spans="1:76" ht="15.7">
      <c r="A232" s="6"/>
      <c r="B232" s="7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  <c r="AZ232" s="6"/>
      <c r="BA232" s="6"/>
      <c r="BB232" s="6"/>
      <c r="BC232" s="6"/>
      <c r="BD232" s="6"/>
      <c r="BE232" s="6"/>
      <c r="BF232" s="6"/>
      <c r="BG232" s="6"/>
      <c r="BH232" s="6"/>
      <c r="BI232" s="6"/>
      <c r="BJ232" s="6"/>
      <c r="BK232" s="6"/>
      <c r="BL232" s="6"/>
      <c r="BM232" s="6"/>
      <c r="BN232" s="6"/>
      <c r="BO232" s="6"/>
      <c r="BP232" s="6"/>
      <c r="BQ232" s="6"/>
      <c r="BR232" s="6"/>
      <c r="BS232" s="6"/>
      <c r="BT232" s="6"/>
      <c r="BU232" s="6"/>
      <c r="BV232" s="6"/>
      <c r="BW232" s="6"/>
      <c r="BX232" s="11"/>
    </row>
    <row r="233" spans="1:76" ht="15.7">
      <c r="A233" s="6"/>
      <c r="B233" s="7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  <c r="AZ233" s="6"/>
      <c r="BA233" s="6"/>
      <c r="BB233" s="6"/>
      <c r="BC233" s="6"/>
      <c r="BD233" s="6"/>
      <c r="BE233" s="6"/>
      <c r="BF233" s="6"/>
      <c r="BG233" s="6"/>
      <c r="BH233" s="6"/>
      <c r="BI233" s="6"/>
      <c r="BJ233" s="6"/>
      <c r="BK233" s="6"/>
      <c r="BL233" s="6"/>
      <c r="BM233" s="6"/>
      <c r="BN233" s="6"/>
      <c r="BO233" s="6"/>
      <c r="BP233" s="6"/>
      <c r="BQ233" s="6"/>
      <c r="BR233" s="6"/>
      <c r="BS233" s="6"/>
      <c r="BT233" s="6"/>
      <c r="BU233" s="6"/>
      <c r="BV233" s="6"/>
      <c r="BW233" s="6"/>
      <c r="BX233" s="11"/>
    </row>
    <row r="234" spans="1:76" ht="15.7">
      <c r="A234" s="6"/>
      <c r="B234" s="7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  <c r="AZ234" s="6"/>
      <c r="BA234" s="6"/>
      <c r="BB234" s="6"/>
      <c r="BC234" s="6"/>
      <c r="BD234" s="6"/>
      <c r="BE234" s="6"/>
      <c r="BF234" s="6"/>
      <c r="BG234" s="6"/>
      <c r="BH234" s="6"/>
      <c r="BI234" s="6"/>
      <c r="BJ234" s="6"/>
      <c r="BK234" s="6"/>
      <c r="BL234" s="6"/>
      <c r="BM234" s="6"/>
      <c r="BN234" s="6"/>
      <c r="BO234" s="6"/>
      <c r="BP234" s="6"/>
      <c r="BQ234" s="6"/>
      <c r="BR234" s="6"/>
      <c r="BS234" s="6"/>
      <c r="BT234" s="6"/>
      <c r="BU234" s="6"/>
      <c r="BV234" s="6"/>
      <c r="BW234" s="6"/>
      <c r="BX234" s="11"/>
    </row>
    <row r="235" spans="1:76" ht="15.7">
      <c r="A235" s="6"/>
      <c r="B235" s="7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  <c r="AZ235" s="6"/>
      <c r="BA235" s="6"/>
      <c r="BB235" s="6"/>
      <c r="BC235" s="6"/>
      <c r="BD235" s="6"/>
      <c r="BE235" s="6"/>
      <c r="BF235" s="6"/>
      <c r="BG235" s="6"/>
      <c r="BH235" s="6"/>
      <c r="BI235" s="6"/>
      <c r="BJ235" s="6"/>
      <c r="BK235" s="6"/>
      <c r="BL235" s="6"/>
      <c r="BM235" s="6"/>
      <c r="BN235" s="6"/>
      <c r="BO235" s="6"/>
      <c r="BP235" s="6"/>
      <c r="BQ235" s="6"/>
      <c r="BR235" s="6"/>
      <c r="BS235" s="6"/>
      <c r="BT235" s="6"/>
      <c r="BU235" s="6"/>
      <c r="BV235" s="6"/>
      <c r="BW235" s="6"/>
      <c r="BX235" s="11"/>
    </row>
    <row r="236" spans="1:76" ht="15.7">
      <c r="A236" s="6"/>
      <c r="B236" s="7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  <c r="AZ236" s="6"/>
      <c r="BA236" s="6"/>
      <c r="BB236" s="6"/>
      <c r="BC236" s="6"/>
      <c r="BD236" s="6"/>
      <c r="BE236" s="6"/>
      <c r="BF236" s="6"/>
      <c r="BG236" s="6"/>
      <c r="BH236" s="6"/>
      <c r="BI236" s="6"/>
      <c r="BJ236" s="6"/>
      <c r="BK236" s="6"/>
      <c r="BL236" s="6"/>
      <c r="BM236" s="6"/>
      <c r="BN236" s="6"/>
      <c r="BO236" s="6"/>
      <c r="BP236" s="6"/>
      <c r="BQ236" s="6"/>
      <c r="BR236" s="6"/>
      <c r="BS236" s="6"/>
      <c r="BT236" s="6"/>
      <c r="BU236" s="6"/>
      <c r="BV236" s="6"/>
      <c r="BW236" s="6"/>
      <c r="BX236" s="11"/>
    </row>
    <row r="237" spans="1:76" ht="15.7">
      <c r="A237" s="6"/>
      <c r="B237" s="7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  <c r="AZ237" s="6"/>
      <c r="BA237" s="6"/>
      <c r="BB237" s="6"/>
      <c r="BC237" s="6"/>
      <c r="BD237" s="6"/>
      <c r="BE237" s="6"/>
      <c r="BF237" s="6"/>
      <c r="BG237" s="6"/>
      <c r="BH237" s="6"/>
      <c r="BI237" s="6"/>
      <c r="BJ237" s="6"/>
      <c r="BK237" s="6"/>
      <c r="BL237" s="6"/>
      <c r="BM237" s="6"/>
      <c r="BN237" s="6"/>
      <c r="BO237" s="6"/>
      <c r="BP237" s="6"/>
      <c r="BQ237" s="6"/>
      <c r="BR237" s="6"/>
      <c r="BS237" s="6"/>
      <c r="BT237" s="6"/>
      <c r="BU237" s="6"/>
      <c r="BV237" s="6"/>
      <c r="BW237" s="6"/>
      <c r="BX237" s="11"/>
    </row>
    <row r="238" spans="1:76" ht="15.7">
      <c r="A238" s="6"/>
      <c r="B238" s="7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  <c r="AZ238" s="6"/>
      <c r="BA238" s="6"/>
      <c r="BB238" s="6"/>
      <c r="BC238" s="6"/>
      <c r="BD238" s="6"/>
      <c r="BE238" s="6"/>
      <c r="BF238" s="6"/>
      <c r="BG238" s="6"/>
      <c r="BH238" s="6"/>
      <c r="BI238" s="6"/>
      <c r="BJ238" s="6"/>
      <c r="BK238" s="6"/>
      <c r="BL238" s="6"/>
      <c r="BM238" s="6"/>
      <c r="BN238" s="6"/>
      <c r="BO238" s="6"/>
      <c r="BP238" s="6"/>
      <c r="BQ238" s="6"/>
      <c r="BR238" s="6"/>
      <c r="BS238" s="6"/>
      <c r="BT238" s="6"/>
      <c r="BU238" s="6"/>
      <c r="BV238" s="6"/>
      <c r="BW238" s="6"/>
      <c r="BX238" s="11"/>
    </row>
    <row r="239" spans="1:76" ht="15.7">
      <c r="A239" s="6"/>
      <c r="B239" s="7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  <c r="AZ239" s="6"/>
      <c r="BA239" s="6"/>
      <c r="BB239" s="6"/>
      <c r="BC239" s="6"/>
      <c r="BD239" s="6"/>
      <c r="BE239" s="6"/>
      <c r="BF239" s="6"/>
      <c r="BG239" s="6"/>
      <c r="BH239" s="6"/>
      <c r="BI239" s="6"/>
      <c r="BJ239" s="6"/>
      <c r="BK239" s="6"/>
      <c r="BL239" s="6"/>
      <c r="BM239" s="6"/>
      <c r="BN239" s="6"/>
      <c r="BO239" s="6"/>
      <c r="BP239" s="6"/>
      <c r="BQ239" s="6"/>
      <c r="BR239" s="6"/>
      <c r="BS239" s="6"/>
      <c r="BT239" s="6"/>
      <c r="BU239" s="6"/>
      <c r="BV239" s="6"/>
      <c r="BW239" s="6"/>
      <c r="BX239" s="11"/>
    </row>
    <row r="240" spans="1:76" ht="15.7">
      <c r="A240" s="6"/>
      <c r="B240" s="7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  <c r="AZ240" s="6"/>
      <c r="BA240" s="6"/>
      <c r="BB240" s="6"/>
      <c r="BC240" s="6"/>
      <c r="BD240" s="6"/>
      <c r="BE240" s="6"/>
      <c r="BF240" s="6"/>
      <c r="BG240" s="6"/>
      <c r="BH240" s="6"/>
      <c r="BI240" s="6"/>
      <c r="BJ240" s="6"/>
      <c r="BK240" s="6"/>
      <c r="BL240" s="6"/>
      <c r="BM240" s="6"/>
      <c r="BN240" s="6"/>
      <c r="BO240" s="6"/>
      <c r="BP240" s="6"/>
      <c r="BQ240" s="6"/>
      <c r="BR240" s="6"/>
      <c r="BS240" s="6"/>
      <c r="BT240" s="6"/>
      <c r="BU240" s="6"/>
      <c r="BV240" s="6"/>
      <c r="BW240" s="6"/>
      <c r="BX240" s="11"/>
    </row>
    <row r="241" spans="1:76" ht="15.7">
      <c r="A241" s="6"/>
      <c r="B241" s="7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  <c r="AZ241" s="6"/>
      <c r="BA241" s="6"/>
      <c r="BB241" s="6"/>
      <c r="BC241" s="6"/>
      <c r="BD241" s="6"/>
      <c r="BE241" s="6"/>
      <c r="BF241" s="6"/>
      <c r="BG241" s="6"/>
      <c r="BH241" s="6"/>
      <c r="BI241" s="6"/>
      <c r="BJ241" s="6"/>
      <c r="BK241" s="6"/>
      <c r="BL241" s="6"/>
      <c r="BM241" s="6"/>
      <c r="BN241" s="6"/>
      <c r="BO241" s="6"/>
      <c r="BP241" s="6"/>
      <c r="BQ241" s="6"/>
      <c r="BR241" s="6"/>
      <c r="BS241" s="6"/>
      <c r="BT241" s="6"/>
      <c r="BU241" s="6"/>
      <c r="BV241" s="6"/>
      <c r="BW241" s="6"/>
      <c r="BX241" s="11"/>
    </row>
    <row r="242" spans="1:76" ht="15.7">
      <c r="A242" s="6"/>
      <c r="B242" s="7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  <c r="AZ242" s="6"/>
      <c r="BA242" s="6"/>
      <c r="BB242" s="6"/>
      <c r="BC242" s="6"/>
      <c r="BD242" s="6"/>
      <c r="BE242" s="6"/>
      <c r="BF242" s="6"/>
      <c r="BG242" s="6"/>
      <c r="BH242" s="6"/>
      <c r="BI242" s="6"/>
      <c r="BJ242" s="6"/>
      <c r="BK242" s="6"/>
      <c r="BL242" s="6"/>
      <c r="BM242" s="6"/>
      <c r="BN242" s="6"/>
      <c r="BO242" s="6"/>
      <c r="BP242" s="6"/>
      <c r="BQ242" s="6"/>
      <c r="BR242" s="6"/>
      <c r="BS242" s="6"/>
      <c r="BT242" s="6"/>
      <c r="BU242" s="6"/>
      <c r="BV242" s="6"/>
      <c r="BW242" s="6"/>
      <c r="BX242" s="11"/>
    </row>
    <row r="243" spans="1:76" ht="15.7">
      <c r="A243" s="6"/>
      <c r="B243" s="7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  <c r="AZ243" s="6"/>
      <c r="BA243" s="6"/>
      <c r="BB243" s="6"/>
      <c r="BC243" s="6"/>
      <c r="BD243" s="6"/>
      <c r="BE243" s="6"/>
      <c r="BF243" s="6"/>
      <c r="BG243" s="6"/>
      <c r="BH243" s="6"/>
      <c r="BI243" s="6"/>
      <c r="BJ243" s="6"/>
      <c r="BK243" s="6"/>
      <c r="BL243" s="6"/>
      <c r="BM243" s="6"/>
      <c r="BN243" s="6"/>
      <c r="BO243" s="6"/>
      <c r="BP243" s="6"/>
      <c r="BQ243" s="6"/>
      <c r="BR243" s="6"/>
      <c r="BS243" s="6"/>
      <c r="BT243" s="6"/>
      <c r="BU243" s="6"/>
      <c r="BV243" s="6"/>
      <c r="BW243" s="6"/>
      <c r="BX243" s="11"/>
    </row>
    <row r="244" spans="1:76" ht="15.7">
      <c r="A244" s="6"/>
      <c r="B244" s="7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  <c r="AZ244" s="6"/>
      <c r="BA244" s="6"/>
      <c r="BB244" s="6"/>
      <c r="BC244" s="6"/>
      <c r="BD244" s="6"/>
      <c r="BE244" s="6"/>
      <c r="BF244" s="6"/>
      <c r="BG244" s="6"/>
      <c r="BH244" s="6"/>
      <c r="BI244" s="6"/>
      <c r="BJ244" s="6"/>
      <c r="BK244" s="6"/>
      <c r="BL244" s="6"/>
      <c r="BM244" s="6"/>
      <c r="BN244" s="6"/>
      <c r="BO244" s="6"/>
      <c r="BP244" s="6"/>
      <c r="BQ244" s="6"/>
      <c r="BR244" s="6"/>
      <c r="BS244" s="6"/>
      <c r="BT244" s="6"/>
      <c r="BU244" s="6"/>
      <c r="BV244" s="6"/>
      <c r="BW244" s="6"/>
      <c r="BX244" s="11"/>
    </row>
    <row r="245" spans="1:76" ht="15.7">
      <c r="A245" s="6"/>
      <c r="B245" s="7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  <c r="AZ245" s="6"/>
      <c r="BA245" s="6"/>
      <c r="BB245" s="6"/>
      <c r="BC245" s="6"/>
      <c r="BD245" s="6"/>
      <c r="BE245" s="6"/>
      <c r="BF245" s="6"/>
      <c r="BG245" s="6"/>
      <c r="BH245" s="6"/>
      <c r="BI245" s="6"/>
      <c r="BJ245" s="6"/>
      <c r="BK245" s="6"/>
      <c r="BL245" s="6"/>
      <c r="BM245" s="6"/>
      <c r="BN245" s="6"/>
      <c r="BO245" s="6"/>
      <c r="BP245" s="6"/>
      <c r="BQ245" s="6"/>
      <c r="BR245" s="6"/>
      <c r="BS245" s="6"/>
      <c r="BT245" s="6"/>
      <c r="BU245" s="6"/>
      <c r="BV245" s="6"/>
      <c r="BW245" s="6"/>
      <c r="BX245" s="11"/>
    </row>
    <row r="246" spans="1:76" ht="15.7">
      <c r="A246" s="6"/>
      <c r="B246" s="7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  <c r="AZ246" s="6"/>
      <c r="BA246" s="6"/>
      <c r="BB246" s="6"/>
      <c r="BC246" s="6"/>
      <c r="BD246" s="6"/>
      <c r="BE246" s="6"/>
      <c r="BF246" s="6"/>
      <c r="BG246" s="6"/>
      <c r="BH246" s="6"/>
      <c r="BI246" s="6"/>
      <c r="BJ246" s="6"/>
      <c r="BK246" s="6"/>
      <c r="BL246" s="6"/>
      <c r="BM246" s="6"/>
      <c r="BN246" s="6"/>
      <c r="BO246" s="6"/>
      <c r="BP246" s="6"/>
      <c r="BQ246" s="6"/>
      <c r="BR246" s="6"/>
      <c r="BS246" s="6"/>
      <c r="BT246" s="6"/>
      <c r="BU246" s="6"/>
      <c r="BV246" s="6"/>
      <c r="BW246" s="6"/>
      <c r="BX246" s="11"/>
    </row>
    <row r="247" spans="1:76" ht="15.7">
      <c r="A247" s="6"/>
      <c r="B247" s="7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  <c r="AZ247" s="6"/>
      <c r="BA247" s="6"/>
      <c r="BB247" s="6"/>
      <c r="BC247" s="6"/>
      <c r="BD247" s="6"/>
      <c r="BE247" s="6"/>
      <c r="BF247" s="6"/>
      <c r="BG247" s="6"/>
      <c r="BH247" s="6"/>
      <c r="BI247" s="6"/>
      <c r="BJ247" s="6"/>
      <c r="BK247" s="6"/>
      <c r="BL247" s="6"/>
      <c r="BM247" s="6"/>
      <c r="BN247" s="6"/>
      <c r="BO247" s="6"/>
      <c r="BP247" s="6"/>
      <c r="BQ247" s="6"/>
      <c r="BR247" s="6"/>
      <c r="BS247" s="6"/>
      <c r="BT247" s="6"/>
      <c r="BU247" s="6"/>
      <c r="BV247" s="6"/>
      <c r="BW247" s="6"/>
      <c r="BX247" s="11"/>
    </row>
    <row r="248" spans="1:76" ht="15.7">
      <c r="A248" s="6"/>
      <c r="B248" s="7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  <c r="AZ248" s="6"/>
      <c r="BA248" s="6"/>
      <c r="BB248" s="6"/>
      <c r="BC248" s="6"/>
      <c r="BD248" s="6"/>
      <c r="BE248" s="6"/>
      <c r="BF248" s="6"/>
      <c r="BG248" s="6"/>
      <c r="BH248" s="6"/>
      <c r="BI248" s="6"/>
      <c r="BJ248" s="6"/>
      <c r="BK248" s="6"/>
      <c r="BL248" s="6"/>
      <c r="BM248" s="6"/>
      <c r="BN248" s="6"/>
      <c r="BO248" s="6"/>
      <c r="BP248" s="6"/>
      <c r="BQ248" s="6"/>
      <c r="BR248" s="6"/>
      <c r="BS248" s="6"/>
      <c r="BT248" s="6"/>
      <c r="BU248" s="6"/>
      <c r="BV248" s="6"/>
      <c r="BW248" s="6"/>
      <c r="BX248" s="11"/>
    </row>
    <row r="249" spans="1:76" ht="15.7">
      <c r="A249" s="6"/>
      <c r="B249" s="7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  <c r="AZ249" s="6"/>
      <c r="BA249" s="6"/>
      <c r="BB249" s="6"/>
      <c r="BC249" s="6"/>
      <c r="BD249" s="6"/>
      <c r="BE249" s="6"/>
      <c r="BF249" s="6"/>
      <c r="BG249" s="6"/>
      <c r="BH249" s="6"/>
      <c r="BI249" s="6"/>
      <c r="BJ249" s="6"/>
      <c r="BK249" s="6"/>
      <c r="BL249" s="6"/>
      <c r="BM249" s="6"/>
      <c r="BN249" s="6"/>
      <c r="BO249" s="6"/>
      <c r="BP249" s="6"/>
      <c r="BQ249" s="6"/>
      <c r="BR249" s="6"/>
      <c r="BS249" s="6"/>
      <c r="BT249" s="6"/>
      <c r="BU249" s="6"/>
      <c r="BV249" s="6"/>
      <c r="BW249" s="6"/>
      <c r="BX249" s="11"/>
    </row>
    <row r="250" spans="1:76" ht="15.7">
      <c r="A250" s="6"/>
      <c r="B250" s="7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  <c r="AZ250" s="6"/>
      <c r="BA250" s="6"/>
      <c r="BB250" s="6"/>
      <c r="BC250" s="6"/>
      <c r="BD250" s="6"/>
      <c r="BE250" s="6"/>
      <c r="BF250" s="6"/>
      <c r="BG250" s="6"/>
      <c r="BH250" s="6"/>
      <c r="BI250" s="6"/>
      <c r="BJ250" s="6"/>
      <c r="BK250" s="6"/>
      <c r="BL250" s="6"/>
      <c r="BM250" s="6"/>
      <c r="BN250" s="6"/>
      <c r="BO250" s="6"/>
      <c r="BP250" s="6"/>
      <c r="BQ250" s="6"/>
      <c r="BR250" s="6"/>
      <c r="BS250" s="6"/>
      <c r="BT250" s="6"/>
      <c r="BU250" s="6"/>
      <c r="BV250" s="6"/>
      <c r="BW250" s="6"/>
      <c r="BX250" s="11"/>
    </row>
    <row r="251" spans="1:76" ht="15.7">
      <c r="A251" s="6"/>
      <c r="B251" s="7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  <c r="AZ251" s="6"/>
      <c r="BA251" s="6"/>
      <c r="BB251" s="6"/>
      <c r="BC251" s="6"/>
      <c r="BD251" s="6"/>
      <c r="BE251" s="6"/>
      <c r="BF251" s="6"/>
      <c r="BG251" s="6"/>
      <c r="BH251" s="6"/>
      <c r="BI251" s="6"/>
      <c r="BJ251" s="6"/>
      <c r="BK251" s="6"/>
      <c r="BL251" s="6"/>
      <c r="BM251" s="6"/>
      <c r="BN251" s="6"/>
      <c r="BO251" s="6"/>
      <c r="BP251" s="6"/>
      <c r="BQ251" s="6"/>
      <c r="BR251" s="6"/>
      <c r="BS251" s="6"/>
      <c r="BT251" s="6"/>
      <c r="BU251" s="6"/>
      <c r="BV251" s="6"/>
      <c r="BW251" s="6"/>
      <c r="BX251" s="11"/>
    </row>
    <row r="252" spans="1:76" ht="15.7">
      <c r="A252" s="6"/>
      <c r="B252" s="7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  <c r="AZ252" s="6"/>
      <c r="BA252" s="6"/>
      <c r="BB252" s="6"/>
      <c r="BC252" s="6"/>
      <c r="BD252" s="6"/>
      <c r="BE252" s="6"/>
      <c r="BF252" s="6"/>
      <c r="BG252" s="6"/>
      <c r="BH252" s="6"/>
      <c r="BI252" s="6"/>
      <c r="BJ252" s="6"/>
      <c r="BK252" s="6"/>
      <c r="BL252" s="6"/>
      <c r="BM252" s="6"/>
      <c r="BN252" s="6"/>
      <c r="BO252" s="6"/>
      <c r="BP252" s="6"/>
      <c r="BQ252" s="6"/>
      <c r="BR252" s="6"/>
      <c r="BS252" s="6"/>
      <c r="BT252" s="6"/>
      <c r="BU252" s="6"/>
      <c r="BV252" s="6"/>
      <c r="BW252" s="6"/>
      <c r="BX252" s="11"/>
    </row>
    <row r="253" spans="1:76" ht="15.7">
      <c r="A253" s="6"/>
      <c r="B253" s="7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  <c r="AZ253" s="6"/>
      <c r="BA253" s="6"/>
      <c r="BB253" s="6"/>
      <c r="BC253" s="6"/>
      <c r="BD253" s="6"/>
      <c r="BE253" s="6"/>
      <c r="BF253" s="6"/>
      <c r="BG253" s="6"/>
      <c r="BH253" s="6"/>
      <c r="BI253" s="6"/>
      <c r="BJ253" s="6"/>
      <c r="BK253" s="6"/>
      <c r="BL253" s="6"/>
      <c r="BM253" s="6"/>
      <c r="BN253" s="6"/>
      <c r="BO253" s="6"/>
      <c r="BP253" s="6"/>
      <c r="BQ253" s="6"/>
      <c r="BR253" s="6"/>
      <c r="BS253" s="6"/>
      <c r="BT253" s="6"/>
      <c r="BU253" s="6"/>
      <c r="BV253" s="6"/>
      <c r="BW253" s="6"/>
      <c r="BX253" s="11"/>
    </row>
    <row r="254" spans="1:76" ht="15.7">
      <c r="A254" s="6"/>
      <c r="B254" s="7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  <c r="AZ254" s="6"/>
      <c r="BA254" s="6"/>
      <c r="BB254" s="6"/>
      <c r="BC254" s="6"/>
      <c r="BD254" s="6"/>
      <c r="BE254" s="6"/>
      <c r="BF254" s="6"/>
      <c r="BG254" s="6"/>
      <c r="BH254" s="6"/>
      <c r="BI254" s="6"/>
      <c r="BJ254" s="6"/>
      <c r="BK254" s="6"/>
      <c r="BL254" s="6"/>
      <c r="BM254" s="6"/>
      <c r="BN254" s="6"/>
      <c r="BO254" s="6"/>
      <c r="BP254" s="6"/>
      <c r="BQ254" s="6"/>
      <c r="BR254" s="6"/>
      <c r="BS254" s="6"/>
      <c r="BT254" s="6"/>
      <c r="BU254" s="6"/>
      <c r="BV254" s="6"/>
      <c r="BW254" s="6"/>
      <c r="BX254" s="11"/>
    </row>
    <row r="255" spans="1:76" ht="15.7">
      <c r="A255" s="6"/>
      <c r="B255" s="7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/>
      <c r="BD255" s="6"/>
      <c r="BE255" s="6"/>
      <c r="BF255" s="6"/>
      <c r="BG255" s="6"/>
      <c r="BH255" s="6"/>
      <c r="BI255" s="6"/>
      <c r="BJ255" s="6"/>
      <c r="BK255" s="6"/>
      <c r="BL255" s="6"/>
      <c r="BM255" s="6"/>
      <c r="BN255" s="6"/>
      <c r="BO255" s="6"/>
      <c r="BP255" s="6"/>
      <c r="BQ255" s="6"/>
      <c r="BR255" s="6"/>
      <c r="BS255" s="6"/>
      <c r="BT255" s="6"/>
      <c r="BU255" s="6"/>
      <c r="BV255" s="6"/>
      <c r="BW255" s="6"/>
      <c r="BX255" s="11"/>
    </row>
    <row r="256" spans="1:76" ht="15.7">
      <c r="A256" s="6"/>
      <c r="B256" s="7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/>
      <c r="BD256" s="6"/>
      <c r="BE256" s="6"/>
      <c r="BF256" s="6"/>
      <c r="BG256" s="6"/>
      <c r="BH256" s="6"/>
      <c r="BI256" s="6"/>
      <c r="BJ256" s="6"/>
      <c r="BK256" s="6"/>
      <c r="BL256" s="6"/>
      <c r="BM256" s="6"/>
      <c r="BN256" s="6"/>
      <c r="BO256" s="6"/>
      <c r="BP256" s="6"/>
      <c r="BQ256" s="6"/>
      <c r="BR256" s="6"/>
      <c r="BS256" s="6"/>
      <c r="BT256" s="6"/>
      <c r="BU256" s="6"/>
      <c r="BV256" s="6"/>
      <c r="BW256" s="6"/>
      <c r="BX256" s="11"/>
    </row>
    <row r="257" spans="1:76" ht="15.7">
      <c r="A257" s="6"/>
      <c r="B257" s="7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/>
      <c r="BD257" s="6"/>
      <c r="BE257" s="6"/>
      <c r="BF257" s="6"/>
      <c r="BG257" s="6"/>
      <c r="BH257" s="6"/>
      <c r="BI257" s="6"/>
      <c r="BJ257" s="6"/>
      <c r="BK257" s="6"/>
      <c r="BL257" s="6"/>
      <c r="BM257" s="6"/>
      <c r="BN257" s="6"/>
      <c r="BO257" s="6"/>
      <c r="BP257" s="6"/>
      <c r="BQ257" s="6"/>
      <c r="BR257" s="6"/>
      <c r="BS257" s="6"/>
      <c r="BT257" s="6"/>
      <c r="BU257" s="6"/>
      <c r="BV257" s="6"/>
      <c r="BW257" s="6"/>
      <c r="BX257" s="11"/>
    </row>
    <row r="258" spans="1:76" ht="15.7">
      <c r="A258" s="6"/>
      <c r="B258" s="7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/>
      <c r="BD258" s="6"/>
      <c r="BE258" s="6"/>
      <c r="BF258" s="6"/>
      <c r="BG258" s="6"/>
      <c r="BH258" s="6"/>
      <c r="BI258" s="6"/>
      <c r="BJ258" s="6"/>
      <c r="BK258" s="6"/>
      <c r="BL258" s="6"/>
      <c r="BM258" s="6"/>
      <c r="BN258" s="6"/>
      <c r="BO258" s="6"/>
      <c r="BP258" s="6"/>
      <c r="BQ258" s="6"/>
      <c r="BR258" s="6"/>
      <c r="BS258" s="6"/>
      <c r="BT258" s="6"/>
      <c r="BU258" s="6"/>
      <c r="BV258" s="6"/>
      <c r="BW258" s="6"/>
      <c r="BX258" s="11"/>
    </row>
    <row r="259" spans="1:76" ht="15.7">
      <c r="A259" s="6"/>
      <c r="B259" s="7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/>
      <c r="BD259" s="6"/>
      <c r="BE259" s="6"/>
      <c r="BF259" s="6"/>
      <c r="BG259" s="6"/>
      <c r="BH259" s="6"/>
      <c r="BI259" s="6"/>
      <c r="BJ259" s="6"/>
      <c r="BK259" s="6"/>
      <c r="BL259" s="6"/>
      <c r="BM259" s="6"/>
      <c r="BN259" s="6"/>
      <c r="BO259" s="6"/>
      <c r="BP259" s="6"/>
      <c r="BQ259" s="6"/>
      <c r="BR259" s="6"/>
      <c r="BS259" s="6"/>
      <c r="BT259" s="6"/>
      <c r="BU259" s="6"/>
      <c r="BV259" s="6"/>
      <c r="BW259" s="6"/>
      <c r="BX259" s="11"/>
    </row>
    <row r="260" spans="1:76" ht="15.7">
      <c r="A260" s="6"/>
      <c r="B260" s="7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  <c r="AZ260" s="6"/>
      <c r="BA260" s="6"/>
      <c r="BB260" s="6"/>
      <c r="BC260" s="6"/>
      <c r="BD260" s="6"/>
      <c r="BE260" s="6"/>
      <c r="BF260" s="6"/>
      <c r="BG260" s="6"/>
      <c r="BH260" s="6"/>
      <c r="BI260" s="6"/>
      <c r="BJ260" s="6"/>
      <c r="BK260" s="6"/>
      <c r="BL260" s="6"/>
      <c r="BM260" s="6"/>
      <c r="BN260" s="6"/>
      <c r="BO260" s="6"/>
      <c r="BP260" s="6"/>
      <c r="BQ260" s="6"/>
      <c r="BR260" s="6"/>
      <c r="BS260" s="6"/>
      <c r="BT260" s="6"/>
      <c r="BU260" s="6"/>
      <c r="BV260" s="6"/>
      <c r="BW260" s="6"/>
      <c r="BX260" s="11"/>
    </row>
    <row r="261" spans="1:76" ht="15.7">
      <c r="A261" s="6"/>
      <c r="B261" s="7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  <c r="AZ261" s="6"/>
      <c r="BA261" s="6"/>
      <c r="BB261" s="6"/>
      <c r="BC261" s="6"/>
      <c r="BD261" s="6"/>
      <c r="BE261" s="6"/>
      <c r="BF261" s="6"/>
      <c r="BG261" s="6"/>
      <c r="BH261" s="6"/>
      <c r="BI261" s="6"/>
      <c r="BJ261" s="6"/>
      <c r="BK261" s="6"/>
      <c r="BL261" s="6"/>
      <c r="BM261" s="6"/>
      <c r="BN261" s="6"/>
      <c r="BO261" s="6"/>
      <c r="BP261" s="6"/>
      <c r="BQ261" s="6"/>
      <c r="BR261" s="6"/>
      <c r="BS261" s="6"/>
      <c r="BT261" s="6"/>
      <c r="BU261" s="6"/>
      <c r="BV261" s="6"/>
      <c r="BW261" s="6"/>
      <c r="BX261" s="11"/>
    </row>
    <row r="262" spans="1:76" ht="15.7">
      <c r="A262" s="6"/>
      <c r="B262" s="7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  <c r="AZ262" s="6"/>
      <c r="BA262" s="6"/>
      <c r="BB262" s="6"/>
      <c r="BC262" s="6"/>
      <c r="BD262" s="6"/>
      <c r="BE262" s="6"/>
      <c r="BF262" s="6"/>
      <c r="BG262" s="6"/>
      <c r="BH262" s="6"/>
      <c r="BI262" s="6"/>
      <c r="BJ262" s="6"/>
      <c r="BK262" s="6"/>
      <c r="BL262" s="6"/>
      <c r="BM262" s="6"/>
      <c r="BN262" s="6"/>
      <c r="BO262" s="6"/>
      <c r="BP262" s="6"/>
      <c r="BQ262" s="6"/>
      <c r="BR262" s="6"/>
      <c r="BS262" s="6"/>
      <c r="BT262" s="6"/>
      <c r="BU262" s="6"/>
      <c r="BV262" s="6"/>
      <c r="BW262" s="6"/>
      <c r="BX262" s="11"/>
    </row>
    <row r="263" spans="1:76" ht="15.7">
      <c r="A263" s="6"/>
      <c r="B263" s="7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  <c r="AZ263" s="6"/>
      <c r="BA263" s="6"/>
      <c r="BB263" s="6"/>
      <c r="BC263" s="6"/>
      <c r="BD263" s="6"/>
      <c r="BE263" s="6"/>
      <c r="BF263" s="6"/>
      <c r="BG263" s="6"/>
      <c r="BH263" s="6"/>
      <c r="BI263" s="6"/>
      <c r="BJ263" s="6"/>
      <c r="BK263" s="6"/>
      <c r="BL263" s="6"/>
      <c r="BM263" s="6"/>
      <c r="BN263" s="6"/>
      <c r="BO263" s="6"/>
      <c r="BP263" s="6"/>
      <c r="BQ263" s="6"/>
      <c r="BR263" s="6"/>
      <c r="BS263" s="6"/>
      <c r="BT263" s="6"/>
      <c r="BU263" s="6"/>
      <c r="BV263" s="6"/>
      <c r="BW263" s="6"/>
      <c r="BX263" s="11"/>
    </row>
    <row r="264" spans="1:76" ht="15.7">
      <c r="A264" s="6"/>
      <c r="B264" s="7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  <c r="AZ264" s="6"/>
      <c r="BA264" s="6"/>
      <c r="BB264" s="6"/>
      <c r="BC264" s="6"/>
      <c r="BD264" s="6"/>
      <c r="BE264" s="6"/>
      <c r="BF264" s="6"/>
      <c r="BG264" s="6"/>
      <c r="BH264" s="6"/>
      <c r="BI264" s="6"/>
      <c r="BJ264" s="6"/>
      <c r="BK264" s="6"/>
      <c r="BL264" s="6"/>
      <c r="BM264" s="6"/>
      <c r="BN264" s="6"/>
      <c r="BO264" s="6"/>
      <c r="BP264" s="6"/>
      <c r="BQ264" s="6"/>
      <c r="BR264" s="6"/>
      <c r="BS264" s="6"/>
      <c r="BT264" s="6"/>
      <c r="BU264" s="6"/>
      <c r="BV264" s="6"/>
      <c r="BW264" s="6"/>
      <c r="BX264" s="11"/>
    </row>
    <row r="265" spans="1:76" ht="15.7">
      <c r="A265" s="6"/>
      <c r="B265" s="7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  <c r="AZ265" s="6"/>
      <c r="BA265" s="6"/>
      <c r="BB265" s="6"/>
      <c r="BC265" s="6"/>
      <c r="BD265" s="6"/>
      <c r="BE265" s="6"/>
      <c r="BF265" s="6"/>
      <c r="BG265" s="6"/>
      <c r="BH265" s="6"/>
      <c r="BI265" s="6"/>
      <c r="BJ265" s="6"/>
      <c r="BK265" s="6"/>
      <c r="BL265" s="6"/>
      <c r="BM265" s="6"/>
      <c r="BN265" s="6"/>
      <c r="BO265" s="6"/>
      <c r="BP265" s="6"/>
      <c r="BQ265" s="6"/>
      <c r="BR265" s="6"/>
      <c r="BS265" s="6"/>
      <c r="BT265" s="6"/>
      <c r="BU265" s="6"/>
      <c r="BV265" s="6"/>
      <c r="BW265" s="6"/>
      <c r="BX265" s="11"/>
    </row>
    <row r="266" spans="1:76" ht="15.7">
      <c r="A266" s="6"/>
      <c r="B266" s="7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  <c r="AZ266" s="6"/>
      <c r="BA266" s="6"/>
      <c r="BB266" s="6"/>
      <c r="BC266" s="6"/>
      <c r="BD266" s="6"/>
      <c r="BE266" s="6"/>
      <c r="BF266" s="6"/>
      <c r="BG266" s="6"/>
      <c r="BH266" s="6"/>
      <c r="BI266" s="6"/>
      <c r="BJ266" s="6"/>
      <c r="BK266" s="6"/>
      <c r="BL266" s="6"/>
      <c r="BM266" s="6"/>
      <c r="BN266" s="6"/>
      <c r="BO266" s="6"/>
      <c r="BP266" s="6"/>
      <c r="BQ266" s="6"/>
      <c r="BR266" s="6"/>
      <c r="BS266" s="6"/>
      <c r="BT266" s="6"/>
      <c r="BU266" s="6"/>
      <c r="BV266" s="6"/>
      <c r="BW266" s="6"/>
      <c r="BX266" s="11"/>
    </row>
    <row r="267" spans="1:76" ht="15.7">
      <c r="A267" s="6"/>
      <c r="B267" s="7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  <c r="AZ267" s="6"/>
      <c r="BA267" s="6"/>
      <c r="BB267" s="6"/>
      <c r="BC267" s="6"/>
      <c r="BD267" s="6"/>
      <c r="BE267" s="6"/>
      <c r="BF267" s="6"/>
      <c r="BG267" s="6"/>
      <c r="BH267" s="6"/>
      <c r="BI267" s="6"/>
      <c r="BJ267" s="6"/>
      <c r="BK267" s="6"/>
      <c r="BL267" s="6"/>
      <c r="BM267" s="6"/>
      <c r="BN267" s="6"/>
      <c r="BO267" s="6"/>
      <c r="BP267" s="6"/>
      <c r="BQ267" s="6"/>
      <c r="BR267" s="6"/>
      <c r="BS267" s="6"/>
      <c r="BT267" s="6"/>
      <c r="BU267" s="6"/>
      <c r="BV267" s="6"/>
      <c r="BW267" s="6"/>
      <c r="BX267" s="11"/>
    </row>
    <row r="268" spans="1:76" ht="15.7">
      <c r="A268" s="6"/>
      <c r="B268" s="7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  <c r="AZ268" s="6"/>
      <c r="BA268" s="6"/>
      <c r="BB268" s="6"/>
      <c r="BC268" s="6"/>
      <c r="BD268" s="6"/>
      <c r="BE268" s="6"/>
      <c r="BF268" s="6"/>
      <c r="BG268" s="6"/>
      <c r="BH268" s="6"/>
      <c r="BI268" s="6"/>
      <c r="BJ268" s="6"/>
      <c r="BK268" s="6"/>
      <c r="BL268" s="6"/>
      <c r="BM268" s="6"/>
      <c r="BN268" s="6"/>
      <c r="BO268" s="6"/>
      <c r="BP268" s="6"/>
      <c r="BQ268" s="6"/>
      <c r="BR268" s="6"/>
      <c r="BS268" s="6"/>
      <c r="BT268" s="6"/>
      <c r="BU268" s="6"/>
      <c r="BV268" s="6"/>
      <c r="BW268" s="6"/>
      <c r="BX268" s="11"/>
    </row>
    <row r="269" spans="1:76" ht="15.7">
      <c r="A269" s="6"/>
      <c r="B269" s="7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  <c r="AZ269" s="6"/>
      <c r="BA269" s="6"/>
      <c r="BB269" s="6"/>
      <c r="BC269" s="6"/>
      <c r="BD269" s="6"/>
      <c r="BE269" s="6"/>
      <c r="BF269" s="6"/>
      <c r="BG269" s="6"/>
      <c r="BH269" s="6"/>
      <c r="BI269" s="6"/>
      <c r="BJ269" s="6"/>
      <c r="BK269" s="6"/>
      <c r="BL269" s="6"/>
      <c r="BM269" s="6"/>
      <c r="BN269" s="6"/>
      <c r="BO269" s="6"/>
      <c r="BP269" s="6"/>
      <c r="BQ269" s="6"/>
      <c r="BR269" s="6"/>
      <c r="BS269" s="6"/>
      <c r="BT269" s="6"/>
      <c r="BU269" s="6"/>
      <c r="BV269" s="6"/>
      <c r="BW269" s="6"/>
      <c r="BX269" s="11"/>
    </row>
    <row r="270" spans="1:76" ht="15.7">
      <c r="A270" s="6"/>
      <c r="B270" s="7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  <c r="AZ270" s="6"/>
      <c r="BA270" s="6"/>
      <c r="BB270" s="6"/>
      <c r="BC270" s="6"/>
      <c r="BD270" s="6"/>
      <c r="BE270" s="6"/>
      <c r="BF270" s="6"/>
      <c r="BG270" s="6"/>
      <c r="BH270" s="6"/>
      <c r="BI270" s="6"/>
      <c r="BJ270" s="6"/>
      <c r="BK270" s="6"/>
      <c r="BL270" s="6"/>
      <c r="BM270" s="6"/>
      <c r="BN270" s="6"/>
      <c r="BO270" s="6"/>
      <c r="BP270" s="6"/>
      <c r="BQ270" s="6"/>
      <c r="BR270" s="6"/>
      <c r="BS270" s="6"/>
      <c r="BT270" s="6"/>
      <c r="BU270" s="6"/>
      <c r="BV270" s="6"/>
      <c r="BW270" s="6"/>
      <c r="BX270" s="11"/>
    </row>
    <row r="271" spans="1:76" ht="15.7">
      <c r="A271" s="6"/>
      <c r="B271" s="7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  <c r="AZ271" s="6"/>
      <c r="BA271" s="6"/>
      <c r="BB271" s="6"/>
      <c r="BC271" s="6"/>
      <c r="BD271" s="6"/>
      <c r="BE271" s="6"/>
      <c r="BF271" s="6"/>
      <c r="BG271" s="6"/>
      <c r="BH271" s="6"/>
      <c r="BI271" s="6"/>
      <c r="BJ271" s="6"/>
      <c r="BK271" s="6"/>
      <c r="BL271" s="6"/>
      <c r="BM271" s="6"/>
      <c r="BN271" s="6"/>
      <c r="BO271" s="6"/>
      <c r="BP271" s="6"/>
      <c r="BQ271" s="6"/>
      <c r="BR271" s="6"/>
      <c r="BS271" s="6"/>
      <c r="BT271" s="6"/>
      <c r="BU271" s="6"/>
      <c r="BV271" s="6"/>
      <c r="BW271" s="6"/>
      <c r="BX271" s="11"/>
    </row>
    <row r="272" spans="1:76" ht="15.7">
      <c r="A272" s="6"/>
      <c r="B272" s="7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  <c r="AZ272" s="6"/>
      <c r="BA272" s="6"/>
      <c r="BB272" s="6"/>
      <c r="BC272" s="6"/>
      <c r="BD272" s="6"/>
      <c r="BE272" s="6"/>
      <c r="BF272" s="6"/>
      <c r="BG272" s="6"/>
      <c r="BH272" s="6"/>
      <c r="BI272" s="6"/>
      <c r="BJ272" s="6"/>
      <c r="BK272" s="6"/>
      <c r="BL272" s="6"/>
      <c r="BM272" s="6"/>
      <c r="BN272" s="6"/>
      <c r="BO272" s="6"/>
      <c r="BP272" s="6"/>
      <c r="BQ272" s="6"/>
      <c r="BR272" s="6"/>
      <c r="BS272" s="6"/>
      <c r="BT272" s="6"/>
      <c r="BU272" s="6"/>
      <c r="BV272" s="6"/>
      <c r="BW272" s="6"/>
      <c r="BX272" s="11"/>
    </row>
    <row r="273" spans="1:76" ht="15.7">
      <c r="A273" s="6"/>
      <c r="B273" s="7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  <c r="AZ273" s="6"/>
      <c r="BA273" s="6"/>
      <c r="BB273" s="6"/>
      <c r="BC273" s="6"/>
      <c r="BD273" s="6"/>
      <c r="BE273" s="6"/>
      <c r="BF273" s="6"/>
      <c r="BG273" s="6"/>
      <c r="BH273" s="6"/>
      <c r="BI273" s="6"/>
      <c r="BJ273" s="6"/>
      <c r="BK273" s="6"/>
      <c r="BL273" s="6"/>
      <c r="BM273" s="6"/>
      <c r="BN273" s="6"/>
      <c r="BO273" s="6"/>
      <c r="BP273" s="6"/>
      <c r="BQ273" s="6"/>
      <c r="BR273" s="6"/>
      <c r="BS273" s="6"/>
      <c r="BT273" s="6"/>
      <c r="BU273" s="6"/>
      <c r="BV273" s="6"/>
      <c r="BW273" s="6"/>
      <c r="BX273" s="11"/>
    </row>
    <row r="274" spans="1:76" ht="15.7">
      <c r="A274" s="6"/>
      <c r="B274" s="7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  <c r="AZ274" s="6"/>
      <c r="BA274" s="6"/>
      <c r="BB274" s="6"/>
      <c r="BC274" s="6"/>
      <c r="BD274" s="6"/>
      <c r="BE274" s="6"/>
      <c r="BF274" s="6"/>
      <c r="BG274" s="6"/>
      <c r="BH274" s="6"/>
      <c r="BI274" s="6"/>
      <c r="BJ274" s="6"/>
      <c r="BK274" s="6"/>
      <c r="BL274" s="6"/>
      <c r="BM274" s="6"/>
      <c r="BN274" s="6"/>
      <c r="BO274" s="6"/>
      <c r="BP274" s="6"/>
      <c r="BQ274" s="6"/>
      <c r="BR274" s="6"/>
      <c r="BS274" s="6"/>
      <c r="BT274" s="6"/>
      <c r="BU274" s="6"/>
      <c r="BV274" s="6"/>
      <c r="BW274" s="6"/>
      <c r="BX274" s="11"/>
    </row>
    <row r="275" spans="1:76" ht="15.7">
      <c r="A275" s="6"/>
      <c r="B275" s="7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  <c r="AZ275" s="6"/>
      <c r="BA275" s="6"/>
      <c r="BB275" s="6"/>
      <c r="BC275" s="6"/>
      <c r="BD275" s="6"/>
      <c r="BE275" s="6"/>
      <c r="BF275" s="6"/>
      <c r="BG275" s="6"/>
      <c r="BH275" s="6"/>
      <c r="BI275" s="6"/>
      <c r="BJ275" s="6"/>
      <c r="BK275" s="6"/>
      <c r="BL275" s="6"/>
      <c r="BM275" s="6"/>
      <c r="BN275" s="6"/>
      <c r="BO275" s="6"/>
      <c r="BP275" s="6"/>
      <c r="BQ275" s="6"/>
      <c r="BR275" s="6"/>
      <c r="BS275" s="6"/>
      <c r="BT275" s="6"/>
      <c r="BU275" s="6"/>
      <c r="BV275" s="6"/>
      <c r="BW275" s="6"/>
      <c r="BX275" s="11"/>
    </row>
    <row r="276" spans="1:76" ht="15.7">
      <c r="A276" s="6"/>
      <c r="B276" s="7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  <c r="AZ276" s="6"/>
      <c r="BA276" s="6"/>
      <c r="BB276" s="6"/>
      <c r="BC276" s="6"/>
      <c r="BD276" s="6"/>
      <c r="BE276" s="6"/>
      <c r="BF276" s="6"/>
      <c r="BG276" s="6"/>
      <c r="BH276" s="6"/>
      <c r="BI276" s="6"/>
      <c r="BJ276" s="6"/>
      <c r="BK276" s="6"/>
      <c r="BL276" s="6"/>
      <c r="BM276" s="6"/>
      <c r="BN276" s="6"/>
      <c r="BO276" s="6"/>
      <c r="BP276" s="6"/>
      <c r="BQ276" s="6"/>
      <c r="BR276" s="6"/>
      <c r="BS276" s="6"/>
      <c r="BT276" s="6"/>
      <c r="BU276" s="6"/>
      <c r="BV276" s="6"/>
      <c r="BW276" s="6"/>
      <c r="BX276" s="11"/>
    </row>
    <row r="277" spans="1:76" ht="15.7">
      <c r="A277" s="6"/>
      <c r="B277" s="7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  <c r="AZ277" s="6"/>
      <c r="BA277" s="6"/>
      <c r="BB277" s="6"/>
      <c r="BC277" s="6"/>
      <c r="BD277" s="6"/>
      <c r="BE277" s="6"/>
      <c r="BF277" s="6"/>
      <c r="BG277" s="6"/>
      <c r="BH277" s="6"/>
      <c r="BI277" s="6"/>
      <c r="BJ277" s="6"/>
      <c r="BK277" s="6"/>
      <c r="BL277" s="6"/>
      <c r="BM277" s="6"/>
      <c r="BN277" s="6"/>
      <c r="BO277" s="6"/>
      <c r="BP277" s="6"/>
      <c r="BQ277" s="6"/>
      <c r="BR277" s="6"/>
      <c r="BS277" s="6"/>
      <c r="BT277" s="6"/>
      <c r="BU277" s="6"/>
      <c r="BV277" s="6"/>
      <c r="BW277" s="6"/>
      <c r="BX277" s="11"/>
    </row>
    <row r="278" spans="1:76" ht="15.7">
      <c r="A278" s="6"/>
      <c r="B278" s="7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  <c r="AZ278" s="6"/>
      <c r="BA278" s="6"/>
      <c r="BB278" s="6"/>
      <c r="BC278" s="6"/>
      <c r="BD278" s="6"/>
      <c r="BE278" s="6"/>
      <c r="BF278" s="6"/>
      <c r="BG278" s="6"/>
      <c r="BH278" s="6"/>
      <c r="BI278" s="6"/>
      <c r="BJ278" s="6"/>
      <c r="BK278" s="6"/>
      <c r="BL278" s="6"/>
      <c r="BM278" s="6"/>
      <c r="BN278" s="6"/>
      <c r="BO278" s="6"/>
      <c r="BP278" s="6"/>
      <c r="BQ278" s="6"/>
      <c r="BR278" s="6"/>
      <c r="BS278" s="6"/>
      <c r="BT278" s="6"/>
      <c r="BU278" s="6"/>
      <c r="BV278" s="6"/>
      <c r="BW278" s="6"/>
      <c r="BX278" s="11"/>
    </row>
    <row r="279" spans="1:76" ht="15.7">
      <c r="A279" s="6"/>
      <c r="B279" s="7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  <c r="AZ279" s="6"/>
      <c r="BA279" s="6"/>
      <c r="BB279" s="6"/>
      <c r="BC279" s="6"/>
      <c r="BD279" s="6"/>
      <c r="BE279" s="6"/>
      <c r="BF279" s="6"/>
      <c r="BG279" s="6"/>
      <c r="BH279" s="6"/>
      <c r="BI279" s="6"/>
      <c r="BJ279" s="6"/>
      <c r="BK279" s="6"/>
      <c r="BL279" s="6"/>
      <c r="BM279" s="6"/>
      <c r="BN279" s="6"/>
      <c r="BO279" s="6"/>
      <c r="BP279" s="6"/>
      <c r="BQ279" s="6"/>
      <c r="BR279" s="6"/>
      <c r="BS279" s="6"/>
      <c r="BT279" s="6"/>
      <c r="BU279" s="6"/>
      <c r="BV279" s="6"/>
      <c r="BW279" s="6"/>
      <c r="BX279" s="11"/>
    </row>
    <row r="280" spans="1:76" ht="15.7">
      <c r="A280" s="6"/>
      <c r="B280" s="7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  <c r="AZ280" s="6"/>
      <c r="BA280" s="6"/>
      <c r="BB280" s="6"/>
      <c r="BC280" s="6"/>
      <c r="BD280" s="6"/>
      <c r="BE280" s="6"/>
      <c r="BF280" s="6"/>
      <c r="BG280" s="6"/>
      <c r="BH280" s="6"/>
      <c r="BI280" s="6"/>
      <c r="BJ280" s="6"/>
      <c r="BK280" s="6"/>
      <c r="BL280" s="6"/>
      <c r="BM280" s="6"/>
      <c r="BN280" s="6"/>
      <c r="BO280" s="6"/>
      <c r="BP280" s="6"/>
      <c r="BQ280" s="6"/>
      <c r="BR280" s="6"/>
      <c r="BS280" s="6"/>
      <c r="BT280" s="6"/>
      <c r="BU280" s="6"/>
      <c r="BV280" s="6"/>
      <c r="BW280" s="6"/>
      <c r="BX280" s="11"/>
    </row>
    <row r="281" spans="1:76" ht="15.7">
      <c r="A281" s="6"/>
      <c r="B281" s="7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  <c r="AZ281" s="6"/>
      <c r="BA281" s="6"/>
      <c r="BB281" s="6"/>
      <c r="BC281" s="6"/>
      <c r="BD281" s="6"/>
      <c r="BE281" s="6"/>
      <c r="BF281" s="6"/>
      <c r="BG281" s="6"/>
      <c r="BH281" s="6"/>
      <c r="BI281" s="6"/>
      <c r="BJ281" s="6"/>
      <c r="BK281" s="6"/>
      <c r="BL281" s="6"/>
      <c r="BM281" s="6"/>
      <c r="BN281" s="6"/>
      <c r="BO281" s="6"/>
      <c r="BP281" s="6"/>
      <c r="BQ281" s="6"/>
      <c r="BR281" s="6"/>
      <c r="BS281" s="6"/>
      <c r="BT281" s="6"/>
      <c r="BU281" s="6"/>
      <c r="BV281" s="6"/>
      <c r="BW281" s="6"/>
      <c r="BX281" s="11"/>
    </row>
    <row r="282" spans="1:76" ht="15.7">
      <c r="A282" s="6"/>
      <c r="B282" s="7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  <c r="AZ282" s="6"/>
      <c r="BA282" s="6"/>
      <c r="BB282" s="6"/>
      <c r="BC282" s="6"/>
      <c r="BD282" s="6"/>
      <c r="BE282" s="6"/>
      <c r="BF282" s="6"/>
      <c r="BG282" s="6"/>
      <c r="BH282" s="6"/>
      <c r="BI282" s="6"/>
      <c r="BJ282" s="6"/>
      <c r="BK282" s="6"/>
      <c r="BL282" s="6"/>
      <c r="BM282" s="6"/>
      <c r="BN282" s="6"/>
      <c r="BO282" s="6"/>
      <c r="BP282" s="6"/>
      <c r="BQ282" s="6"/>
      <c r="BR282" s="6"/>
      <c r="BS282" s="6"/>
      <c r="BT282" s="6"/>
      <c r="BU282" s="6"/>
      <c r="BV282" s="6"/>
      <c r="BW282" s="6"/>
      <c r="BX282" s="11"/>
    </row>
    <row r="283" spans="1:76" ht="15.7">
      <c r="A283" s="6"/>
      <c r="B283" s="7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  <c r="AZ283" s="6"/>
      <c r="BA283" s="6"/>
      <c r="BB283" s="6"/>
      <c r="BC283" s="6"/>
      <c r="BD283" s="6"/>
      <c r="BE283" s="6"/>
      <c r="BF283" s="6"/>
      <c r="BG283" s="6"/>
      <c r="BH283" s="6"/>
      <c r="BI283" s="6"/>
      <c r="BJ283" s="6"/>
      <c r="BK283" s="6"/>
      <c r="BL283" s="6"/>
      <c r="BM283" s="6"/>
      <c r="BN283" s="6"/>
      <c r="BO283" s="6"/>
      <c r="BP283" s="6"/>
      <c r="BQ283" s="6"/>
      <c r="BR283" s="6"/>
      <c r="BS283" s="6"/>
      <c r="BT283" s="6"/>
      <c r="BU283" s="6"/>
      <c r="BV283" s="6"/>
      <c r="BW283" s="6"/>
      <c r="BX283" s="11"/>
    </row>
    <row r="284" spans="1:76" ht="15.7">
      <c r="A284" s="6"/>
      <c r="B284" s="7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  <c r="AZ284" s="6"/>
      <c r="BA284" s="6"/>
      <c r="BB284" s="6"/>
      <c r="BC284" s="6"/>
      <c r="BD284" s="6"/>
      <c r="BE284" s="6"/>
      <c r="BF284" s="6"/>
      <c r="BG284" s="6"/>
      <c r="BH284" s="6"/>
      <c r="BI284" s="6"/>
      <c r="BJ284" s="6"/>
      <c r="BK284" s="6"/>
      <c r="BL284" s="6"/>
      <c r="BM284" s="6"/>
      <c r="BN284" s="6"/>
      <c r="BO284" s="6"/>
      <c r="BP284" s="6"/>
      <c r="BQ284" s="6"/>
      <c r="BR284" s="6"/>
      <c r="BS284" s="6"/>
      <c r="BT284" s="6"/>
      <c r="BU284" s="6"/>
      <c r="BV284" s="6"/>
      <c r="BW284" s="6"/>
      <c r="BX284" s="11"/>
    </row>
    <row r="285" spans="1:76" ht="15.7">
      <c r="A285" s="6"/>
      <c r="B285" s="7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  <c r="AZ285" s="6"/>
      <c r="BA285" s="6"/>
      <c r="BB285" s="6"/>
      <c r="BC285" s="6"/>
      <c r="BD285" s="6"/>
      <c r="BE285" s="6"/>
      <c r="BF285" s="6"/>
      <c r="BG285" s="6"/>
      <c r="BH285" s="6"/>
      <c r="BI285" s="6"/>
      <c r="BJ285" s="6"/>
      <c r="BK285" s="6"/>
      <c r="BL285" s="6"/>
      <c r="BM285" s="6"/>
      <c r="BN285" s="6"/>
      <c r="BO285" s="6"/>
      <c r="BP285" s="6"/>
      <c r="BQ285" s="6"/>
      <c r="BR285" s="6"/>
      <c r="BS285" s="6"/>
      <c r="BT285" s="6"/>
      <c r="BU285" s="6"/>
      <c r="BV285" s="6"/>
      <c r="BW285" s="6"/>
      <c r="BX285" s="11"/>
    </row>
    <row r="286" spans="1:76" ht="15.7">
      <c r="A286" s="6"/>
      <c r="B286" s="7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  <c r="AZ286" s="6"/>
      <c r="BA286" s="6"/>
      <c r="BB286" s="6"/>
      <c r="BC286" s="6"/>
      <c r="BD286" s="6"/>
      <c r="BE286" s="6"/>
      <c r="BF286" s="6"/>
      <c r="BG286" s="6"/>
      <c r="BH286" s="6"/>
      <c r="BI286" s="6"/>
      <c r="BJ286" s="6"/>
      <c r="BK286" s="6"/>
      <c r="BL286" s="6"/>
      <c r="BM286" s="6"/>
      <c r="BN286" s="6"/>
      <c r="BO286" s="6"/>
      <c r="BP286" s="6"/>
      <c r="BQ286" s="6"/>
      <c r="BR286" s="6"/>
      <c r="BS286" s="6"/>
      <c r="BT286" s="6"/>
      <c r="BU286" s="6"/>
      <c r="BV286" s="6"/>
      <c r="BW286" s="6"/>
      <c r="BX286" s="11"/>
    </row>
    <row r="287" spans="1:76" ht="15.7">
      <c r="A287" s="6"/>
      <c r="B287" s="7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  <c r="AZ287" s="6"/>
      <c r="BA287" s="6"/>
      <c r="BB287" s="6"/>
      <c r="BC287" s="6"/>
      <c r="BD287" s="6"/>
      <c r="BE287" s="6"/>
      <c r="BF287" s="6"/>
      <c r="BG287" s="6"/>
      <c r="BH287" s="6"/>
      <c r="BI287" s="6"/>
      <c r="BJ287" s="6"/>
      <c r="BK287" s="6"/>
      <c r="BL287" s="6"/>
      <c r="BM287" s="6"/>
      <c r="BN287" s="6"/>
      <c r="BO287" s="6"/>
      <c r="BP287" s="6"/>
      <c r="BQ287" s="6"/>
      <c r="BR287" s="6"/>
      <c r="BS287" s="6"/>
      <c r="BT287" s="6"/>
      <c r="BU287" s="6"/>
      <c r="BV287" s="6"/>
      <c r="BW287" s="6"/>
      <c r="BX287" s="11"/>
    </row>
    <row r="288" spans="1:76" ht="15.7">
      <c r="A288" s="6"/>
      <c r="B288" s="7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  <c r="AZ288" s="6"/>
      <c r="BA288" s="6"/>
      <c r="BB288" s="6"/>
      <c r="BC288" s="6"/>
      <c r="BD288" s="6"/>
      <c r="BE288" s="6"/>
      <c r="BF288" s="6"/>
      <c r="BG288" s="6"/>
      <c r="BH288" s="6"/>
      <c r="BI288" s="6"/>
      <c r="BJ288" s="6"/>
      <c r="BK288" s="6"/>
      <c r="BL288" s="6"/>
      <c r="BM288" s="6"/>
      <c r="BN288" s="6"/>
      <c r="BO288" s="6"/>
      <c r="BP288" s="6"/>
      <c r="BQ288" s="6"/>
      <c r="BR288" s="6"/>
      <c r="BS288" s="6"/>
      <c r="BT288" s="6"/>
      <c r="BU288" s="6"/>
      <c r="BV288" s="6"/>
      <c r="BW288" s="6"/>
      <c r="BX288" s="11"/>
    </row>
    <row r="289" spans="1:76" ht="15.7">
      <c r="A289" s="6"/>
      <c r="B289" s="7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  <c r="AZ289" s="6"/>
      <c r="BA289" s="6"/>
      <c r="BB289" s="6"/>
      <c r="BC289" s="6"/>
      <c r="BD289" s="6"/>
      <c r="BE289" s="6"/>
      <c r="BF289" s="6"/>
      <c r="BG289" s="6"/>
      <c r="BH289" s="6"/>
      <c r="BI289" s="6"/>
      <c r="BJ289" s="6"/>
      <c r="BK289" s="6"/>
      <c r="BL289" s="6"/>
      <c r="BM289" s="6"/>
      <c r="BN289" s="6"/>
      <c r="BO289" s="6"/>
      <c r="BP289" s="6"/>
      <c r="BQ289" s="6"/>
      <c r="BR289" s="6"/>
      <c r="BS289" s="6"/>
      <c r="BT289" s="6"/>
      <c r="BU289" s="6"/>
      <c r="BV289" s="6"/>
      <c r="BW289" s="6"/>
      <c r="BX289" s="11"/>
    </row>
    <row r="290" spans="1:76" ht="15.7">
      <c r="A290" s="6"/>
      <c r="B290" s="7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  <c r="AZ290" s="6"/>
      <c r="BA290" s="6"/>
      <c r="BB290" s="6"/>
      <c r="BC290" s="6"/>
      <c r="BD290" s="6"/>
      <c r="BE290" s="6"/>
      <c r="BF290" s="6"/>
      <c r="BG290" s="6"/>
      <c r="BH290" s="6"/>
      <c r="BI290" s="6"/>
      <c r="BJ290" s="6"/>
      <c r="BK290" s="6"/>
      <c r="BL290" s="6"/>
      <c r="BM290" s="6"/>
      <c r="BN290" s="6"/>
      <c r="BO290" s="6"/>
      <c r="BP290" s="6"/>
      <c r="BQ290" s="6"/>
      <c r="BR290" s="6"/>
      <c r="BS290" s="6"/>
      <c r="BT290" s="6"/>
      <c r="BU290" s="6"/>
      <c r="BV290" s="6"/>
      <c r="BW290" s="6"/>
      <c r="BX290" s="11"/>
    </row>
    <row r="291" spans="1:76" ht="15.7">
      <c r="A291" s="6"/>
      <c r="B291" s="7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  <c r="AZ291" s="6"/>
      <c r="BA291" s="6"/>
      <c r="BB291" s="6"/>
      <c r="BC291" s="6"/>
      <c r="BD291" s="6"/>
      <c r="BE291" s="6"/>
      <c r="BF291" s="6"/>
      <c r="BG291" s="6"/>
      <c r="BH291" s="6"/>
      <c r="BI291" s="6"/>
      <c r="BJ291" s="6"/>
      <c r="BK291" s="6"/>
      <c r="BL291" s="6"/>
      <c r="BM291" s="6"/>
      <c r="BN291" s="6"/>
      <c r="BO291" s="6"/>
      <c r="BP291" s="6"/>
      <c r="BQ291" s="6"/>
      <c r="BR291" s="6"/>
      <c r="BS291" s="6"/>
      <c r="BT291" s="6"/>
      <c r="BU291" s="6"/>
      <c r="BV291" s="6"/>
      <c r="BW291" s="6"/>
      <c r="BX291" s="11"/>
    </row>
    <row r="292" spans="1:76" ht="15.7">
      <c r="A292" s="6"/>
      <c r="B292" s="7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  <c r="AZ292" s="6"/>
      <c r="BA292" s="6"/>
      <c r="BB292" s="6"/>
      <c r="BC292" s="6"/>
      <c r="BD292" s="6"/>
      <c r="BE292" s="6"/>
      <c r="BF292" s="6"/>
      <c r="BG292" s="6"/>
      <c r="BH292" s="6"/>
      <c r="BI292" s="6"/>
      <c r="BJ292" s="6"/>
      <c r="BK292" s="6"/>
      <c r="BL292" s="6"/>
      <c r="BM292" s="6"/>
      <c r="BN292" s="6"/>
      <c r="BO292" s="6"/>
      <c r="BP292" s="6"/>
      <c r="BQ292" s="6"/>
      <c r="BR292" s="6"/>
      <c r="BS292" s="6"/>
      <c r="BT292" s="6"/>
      <c r="BU292" s="6"/>
      <c r="BV292" s="6"/>
      <c r="BW292" s="6"/>
      <c r="BX292" s="11"/>
    </row>
    <row r="293" spans="1:76" ht="15.7">
      <c r="A293" s="6"/>
      <c r="B293" s="7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  <c r="AZ293" s="6"/>
      <c r="BA293" s="6"/>
      <c r="BB293" s="6"/>
      <c r="BC293" s="6"/>
      <c r="BD293" s="6"/>
      <c r="BE293" s="6"/>
      <c r="BF293" s="6"/>
      <c r="BG293" s="6"/>
      <c r="BH293" s="6"/>
      <c r="BI293" s="6"/>
      <c r="BJ293" s="6"/>
      <c r="BK293" s="6"/>
      <c r="BL293" s="6"/>
      <c r="BM293" s="6"/>
      <c r="BN293" s="6"/>
      <c r="BO293" s="6"/>
      <c r="BP293" s="6"/>
      <c r="BQ293" s="6"/>
      <c r="BR293" s="6"/>
      <c r="BS293" s="6"/>
      <c r="BT293" s="6"/>
      <c r="BU293" s="6"/>
      <c r="BV293" s="6"/>
      <c r="BW293" s="6"/>
      <c r="BX293" s="11"/>
    </row>
    <row r="294" spans="1:76" ht="15.7">
      <c r="A294" s="6"/>
      <c r="B294" s="7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  <c r="AZ294" s="6"/>
      <c r="BA294" s="6"/>
      <c r="BB294" s="6"/>
      <c r="BC294" s="6"/>
      <c r="BD294" s="6"/>
      <c r="BE294" s="6"/>
      <c r="BF294" s="6"/>
      <c r="BG294" s="6"/>
      <c r="BH294" s="6"/>
      <c r="BI294" s="6"/>
      <c r="BJ294" s="6"/>
      <c r="BK294" s="6"/>
      <c r="BL294" s="6"/>
      <c r="BM294" s="6"/>
      <c r="BN294" s="6"/>
      <c r="BO294" s="6"/>
      <c r="BP294" s="6"/>
      <c r="BQ294" s="6"/>
      <c r="BR294" s="6"/>
      <c r="BS294" s="6"/>
      <c r="BT294" s="6"/>
      <c r="BU294" s="6"/>
      <c r="BV294" s="6"/>
      <c r="BW294" s="6"/>
      <c r="BX294" s="11"/>
    </row>
    <row r="295" spans="1:76" ht="15.7">
      <c r="A295" s="6"/>
      <c r="B295" s="7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  <c r="AZ295" s="6"/>
      <c r="BA295" s="6"/>
      <c r="BB295" s="6"/>
      <c r="BC295" s="6"/>
      <c r="BD295" s="6"/>
      <c r="BE295" s="6"/>
      <c r="BF295" s="6"/>
      <c r="BG295" s="6"/>
      <c r="BH295" s="6"/>
      <c r="BI295" s="6"/>
      <c r="BJ295" s="6"/>
      <c r="BK295" s="6"/>
      <c r="BL295" s="6"/>
      <c r="BM295" s="6"/>
      <c r="BN295" s="6"/>
      <c r="BO295" s="6"/>
      <c r="BP295" s="6"/>
      <c r="BQ295" s="6"/>
      <c r="BR295" s="6"/>
      <c r="BS295" s="6"/>
      <c r="BT295" s="6"/>
      <c r="BU295" s="6"/>
      <c r="BV295" s="6"/>
      <c r="BW295" s="6"/>
      <c r="BX295" s="11"/>
    </row>
    <row r="296" spans="1:76" ht="15.7">
      <c r="A296" s="6"/>
      <c r="B296" s="7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  <c r="AZ296" s="6"/>
      <c r="BA296" s="6"/>
      <c r="BB296" s="6"/>
      <c r="BC296" s="6"/>
      <c r="BD296" s="6"/>
      <c r="BE296" s="6"/>
      <c r="BF296" s="6"/>
      <c r="BG296" s="6"/>
      <c r="BH296" s="6"/>
      <c r="BI296" s="6"/>
      <c r="BJ296" s="6"/>
      <c r="BK296" s="6"/>
      <c r="BL296" s="6"/>
      <c r="BM296" s="6"/>
      <c r="BN296" s="6"/>
      <c r="BO296" s="6"/>
      <c r="BP296" s="6"/>
      <c r="BQ296" s="6"/>
      <c r="BR296" s="6"/>
      <c r="BS296" s="6"/>
      <c r="BT296" s="6"/>
      <c r="BU296" s="6"/>
      <c r="BV296" s="6"/>
      <c r="BW296" s="6"/>
      <c r="BX296" s="11"/>
    </row>
    <row r="297" spans="1:76" ht="15.7">
      <c r="A297" s="6"/>
      <c r="B297" s="7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  <c r="AZ297" s="6"/>
      <c r="BA297" s="6"/>
      <c r="BB297" s="6"/>
      <c r="BC297" s="6"/>
      <c r="BD297" s="6"/>
      <c r="BE297" s="6"/>
      <c r="BF297" s="6"/>
      <c r="BG297" s="6"/>
      <c r="BH297" s="6"/>
      <c r="BI297" s="6"/>
      <c r="BJ297" s="6"/>
      <c r="BK297" s="6"/>
      <c r="BL297" s="6"/>
      <c r="BM297" s="6"/>
      <c r="BN297" s="6"/>
      <c r="BO297" s="6"/>
      <c r="BP297" s="6"/>
      <c r="BQ297" s="6"/>
      <c r="BR297" s="6"/>
      <c r="BS297" s="6"/>
      <c r="BT297" s="6"/>
      <c r="BU297" s="6"/>
      <c r="BV297" s="6"/>
      <c r="BW297" s="6"/>
      <c r="BX297" s="11"/>
    </row>
    <row r="298" spans="1:76" ht="15.7">
      <c r="A298" s="6"/>
      <c r="B298" s="7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  <c r="AZ298" s="6"/>
      <c r="BA298" s="6"/>
      <c r="BB298" s="6"/>
      <c r="BC298" s="6"/>
      <c r="BD298" s="6"/>
      <c r="BE298" s="6"/>
      <c r="BF298" s="6"/>
      <c r="BG298" s="6"/>
      <c r="BH298" s="6"/>
      <c r="BI298" s="6"/>
      <c r="BJ298" s="6"/>
      <c r="BK298" s="6"/>
      <c r="BL298" s="6"/>
      <c r="BM298" s="6"/>
      <c r="BN298" s="6"/>
      <c r="BO298" s="6"/>
      <c r="BP298" s="6"/>
      <c r="BQ298" s="6"/>
      <c r="BR298" s="6"/>
      <c r="BS298" s="6"/>
      <c r="BT298" s="6"/>
      <c r="BU298" s="6"/>
      <c r="BV298" s="6"/>
      <c r="BW298" s="6"/>
      <c r="BX298" s="11"/>
    </row>
    <row r="299" spans="1:76" ht="15.7">
      <c r="A299" s="6"/>
      <c r="B299" s="7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  <c r="AZ299" s="6"/>
      <c r="BA299" s="6"/>
      <c r="BB299" s="6"/>
      <c r="BC299" s="6"/>
      <c r="BD299" s="6"/>
      <c r="BE299" s="6"/>
      <c r="BF299" s="6"/>
      <c r="BG299" s="6"/>
      <c r="BH299" s="6"/>
      <c r="BI299" s="6"/>
      <c r="BJ299" s="6"/>
      <c r="BK299" s="6"/>
      <c r="BL299" s="6"/>
      <c r="BM299" s="6"/>
      <c r="BN299" s="6"/>
      <c r="BO299" s="6"/>
      <c r="BP299" s="6"/>
      <c r="BQ299" s="6"/>
      <c r="BR299" s="6"/>
      <c r="BS299" s="6"/>
      <c r="BT299" s="6"/>
      <c r="BU299" s="6"/>
      <c r="BV299" s="6"/>
      <c r="BW299" s="6"/>
      <c r="BX299" s="11"/>
    </row>
    <row r="300" spans="1:76" ht="15.7">
      <c r="A300" s="6"/>
      <c r="B300" s="7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  <c r="AZ300" s="6"/>
      <c r="BA300" s="6"/>
      <c r="BB300" s="6"/>
      <c r="BC300" s="6"/>
      <c r="BD300" s="6"/>
      <c r="BE300" s="6"/>
      <c r="BF300" s="6"/>
      <c r="BG300" s="6"/>
      <c r="BH300" s="6"/>
      <c r="BI300" s="6"/>
      <c r="BJ300" s="6"/>
      <c r="BK300" s="6"/>
      <c r="BL300" s="6"/>
      <c r="BM300" s="6"/>
      <c r="BN300" s="6"/>
      <c r="BO300" s="6"/>
      <c r="BP300" s="6"/>
      <c r="BQ300" s="6"/>
      <c r="BR300" s="6"/>
      <c r="BS300" s="6"/>
      <c r="BT300" s="6"/>
      <c r="BU300" s="6"/>
      <c r="BV300" s="6"/>
      <c r="BW300" s="6"/>
      <c r="BX300" s="11"/>
    </row>
    <row r="301" spans="1:76" ht="15.7">
      <c r="A301" s="6"/>
      <c r="B301" s="7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  <c r="AZ301" s="6"/>
      <c r="BA301" s="6"/>
      <c r="BB301" s="6"/>
      <c r="BC301" s="6"/>
      <c r="BD301" s="6"/>
      <c r="BE301" s="6"/>
      <c r="BF301" s="6"/>
      <c r="BG301" s="6"/>
      <c r="BH301" s="6"/>
      <c r="BI301" s="6"/>
      <c r="BJ301" s="6"/>
      <c r="BK301" s="6"/>
      <c r="BL301" s="6"/>
      <c r="BM301" s="6"/>
      <c r="BN301" s="6"/>
      <c r="BO301" s="6"/>
      <c r="BP301" s="6"/>
      <c r="BQ301" s="6"/>
      <c r="BR301" s="6"/>
      <c r="BS301" s="6"/>
      <c r="BT301" s="6"/>
      <c r="BU301" s="6"/>
      <c r="BV301" s="6"/>
      <c r="BW301" s="6"/>
      <c r="BX301" s="11"/>
    </row>
    <row r="302" spans="1:76" ht="15.7">
      <c r="A302" s="6"/>
      <c r="B302" s="7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  <c r="AZ302" s="6"/>
      <c r="BA302" s="6"/>
      <c r="BB302" s="6"/>
      <c r="BC302" s="6"/>
      <c r="BD302" s="6"/>
      <c r="BE302" s="6"/>
      <c r="BF302" s="6"/>
      <c r="BG302" s="6"/>
      <c r="BH302" s="6"/>
      <c r="BI302" s="6"/>
      <c r="BJ302" s="6"/>
      <c r="BK302" s="6"/>
      <c r="BL302" s="6"/>
      <c r="BM302" s="6"/>
      <c r="BN302" s="6"/>
      <c r="BO302" s="6"/>
      <c r="BP302" s="6"/>
      <c r="BQ302" s="6"/>
      <c r="BR302" s="6"/>
      <c r="BS302" s="6"/>
      <c r="BT302" s="6"/>
      <c r="BU302" s="6"/>
      <c r="BV302" s="6"/>
      <c r="BW302" s="6"/>
      <c r="BX302" s="11"/>
    </row>
    <row r="303" spans="1:76" ht="15.7">
      <c r="A303" s="6"/>
      <c r="B303" s="7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  <c r="AZ303" s="6"/>
      <c r="BA303" s="6"/>
      <c r="BB303" s="6"/>
      <c r="BC303" s="6"/>
      <c r="BD303" s="6"/>
      <c r="BE303" s="6"/>
      <c r="BF303" s="6"/>
      <c r="BG303" s="6"/>
      <c r="BH303" s="6"/>
      <c r="BI303" s="6"/>
      <c r="BJ303" s="6"/>
      <c r="BK303" s="6"/>
      <c r="BL303" s="6"/>
      <c r="BM303" s="6"/>
      <c r="BN303" s="6"/>
      <c r="BO303" s="6"/>
      <c r="BP303" s="6"/>
      <c r="BQ303" s="6"/>
      <c r="BR303" s="6"/>
      <c r="BS303" s="6"/>
      <c r="BT303" s="6"/>
      <c r="BU303" s="6"/>
      <c r="BV303" s="6"/>
      <c r="BW303" s="6"/>
      <c r="BX303" s="11"/>
    </row>
    <row r="304" spans="1:76" ht="15.7">
      <c r="A304" s="6"/>
      <c r="B304" s="7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/>
      <c r="BD304" s="6"/>
      <c r="BE304" s="6"/>
      <c r="BF304" s="6"/>
      <c r="BG304" s="6"/>
      <c r="BH304" s="6"/>
      <c r="BI304" s="6"/>
      <c r="BJ304" s="6"/>
      <c r="BK304" s="6"/>
      <c r="BL304" s="6"/>
      <c r="BM304" s="6"/>
      <c r="BN304" s="6"/>
      <c r="BO304" s="6"/>
      <c r="BP304" s="6"/>
      <c r="BQ304" s="6"/>
      <c r="BR304" s="6"/>
      <c r="BS304" s="6"/>
      <c r="BT304" s="6"/>
      <c r="BU304" s="6"/>
      <c r="BV304" s="6"/>
      <c r="BW304" s="6"/>
      <c r="BX304" s="11"/>
    </row>
    <row r="305" spans="1:76" ht="15.7">
      <c r="A305" s="6"/>
      <c r="B305" s="7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/>
      <c r="BD305" s="6"/>
      <c r="BE305" s="6"/>
      <c r="BF305" s="6"/>
      <c r="BG305" s="6"/>
      <c r="BH305" s="6"/>
      <c r="BI305" s="6"/>
      <c r="BJ305" s="6"/>
      <c r="BK305" s="6"/>
      <c r="BL305" s="6"/>
      <c r="BM305" s="6"/>
      <c r="BN305" s="6"/>
      <c r="BO305" s="6"/>
      <c r="BP305" s="6"/>
      <c r="BQ305" s="6"/>
      <c r="BR305" s="6"/>
      <c r="BS305" s="6"/>
      <c r="BT305" s="6"/>
      <c r="BU305" s="6"/>
      <c r="BV305" s="6"/>
      <c r="BW305" s="6"/>
      <c r="BX305" s="11"/>
    </row>
    <row r="306" spans="1:76" ht="15.7">
      <c r="A306" s="6"/>
      <c r="B306" s="7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/>
      <c r="BD306" s="6"/>
      <c r="BE306" s="6"/>
      <c r="BF306" s="6"/>
      <c r="BG306" s="6"/>
      <c r="BH306" s="6"/>
      <c r="BI306" s="6"/>
      <c r="BJ306" s="6"/>
      <c r="BK306" s="6"/>
      <c r="BL306" s="6"/>
      <c r="BM306" s="6"/>
      <c r="BN306" s="6"/>
      <c r="BO306" s="6"/>
      <c r="BP306" s="6"/>
      <c r="BQ306" s="6"/>
      <c r="BR306" s="6"/>
      <c r="BS306" s="6"/>
      <c r="BT306" s="6"/>
      <c r="BU306" s="6"/>
      <c r="BV306" s="6"/>
      <c r="BW306" s="6"/>
      <c r="BX306" s="11"/>
    </row>
    <row r="307" spans="1:76" ht="15.7">
      <c r="A307" s="6"/>
      <c r="B307" s="7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/>
      <c r="BD307" s="6"/>
      <c r="BE307" s="6"/>
      <c r="BF307" s="6"/>
      <c r="BG307" s="6"/>
      <c r="BH307" s="6"/>
      <c r="BI307" s="6"/>
      <c r="BJ307" s="6"/>
      <c r="BK307" s="6"/>
      <c r="BL307" s="6"/>
      <c r="BM307" s="6"/>
      <c r="BN307" s="6"/>
      <c r="BO307" s="6"/>
      <c r="BP307" s="6"/>
      <c r="BQ307" s="6"/>
      <c r="BR307" s="6"/>
      <c r="BS307" s="6"/>
      <c r="BT307" s="6"/>
      <c r="BU307" s="6"/>
      <c r="BV307" s="6"/>
      <c r="BW307" s="6"/>
      <c r="BX307" s="11"/>
    </row>
    <row r="308" spans="1:76" ht="15.7">
      <c r="A308" s="6"/>
      <c r="B308" s="7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/>
      <c r="BD308" s="6"/>
      <c r="BE308" s="6"/>
      <c r="BF308" s="6"/>
      <c r="BG308" s="6"/>
      <c r="BH308" s="6"/>
      <c r="BI308" s="6"/>
      <c r="BJ308" s="6"/>
      <c r="BK308" s="6"/>
      <c r="BL308" s="6"/>
      <c r="BM308" s="6"/>
      <c r="BN308" s="6"/>
      <c r="BO308" s="6"/>
      <c r="BP308" s="6"/>
      <c r="BQ308" s="6"/>
      <c r="BR308" s="6"/>
      <c r="BS308" s="6"/>
      <c r="BT308" s="6"/>
      <c r="BU308" s="6"/>
      <c r="BV308" s="6"/>
      <c r="BW308" s="6"/>
      <c r="BX308" s="11"/>
    </row>
    <row r="309" spans="1:76" ht="15.7">
      <c r="A309" s="6"/>
      <c r="B309" s="7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  <c r="AZ309" s="6"/>
      <c r="BA309" s="6"/>
      <c r="BB309" s="6"/>
      <c r="BC309" s="6"/>
      <c r="BD309" s="6"/>
      <c r="BE309" s="6"/>
      <c r="BF309" s="6"/>
      <c r="BG309" s="6"/>
      <c r="BH309" s="6"/>
      <c r="BI309" s="6"/>
      <c r="BJ309" s="6"/>
      <c r="BK309" s="6"/>
      <c r="BL309" s="6"/>
      <c r="BM309" s="6"/>
      <c r="BN309" s="6"/>
      <c r="BO309" s="6"/>
      <c r="BP309" s="6"/>
      <c r="BQ309" s="6"/>
      <c r="BR309" s="6"/>
      <c r="BS309" s="6"/>
      <c r="BT309" s="6"/>
      <c r="BU309" s="6"/>
      <c r="BV309" s="6"/>
      <c r="BW309" s="6"/>
      <c r="BX309" s="11"/>
    </row>
    <row r="310" spans="1:76" ht="15.7">
      <c r="A310" s="6"/>
      <c r="B310" s="7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  <c r="AZ310" s="6"/>
      <c r="BA310" s="6"/>
      <c r="BB310" s="6"/>
      <c r="BC310" s="6"/>
      <c r="BD310" s="6"/>
      <c r="BE310" s="6"/>
      <c r="BF310" s="6"/>
      <c r="BG310" s="6"/>
      <c r="BH310" s="6"/>
      <c r="BI310" s="6"/>
      <c r="BJ310" s="6"/>
      <c r="BK310" s="6"/>
      <c r="BL310" s="6"/>
      <c r="BM310" s="6"/>
      <c r="BN310" s="6"/>
      <c r="BO310" s="6"/>
      <c r="BP310" s="6"/>
      <c r="BQ310" s="6"/>
      <c r="BR310" s="6"/>
      <c r="BS310" s="6"/>
      <c r="BT310" s="6"/>
      <c r="BU310" s="6"/>
      <c r="BV310" s="6"/>
      <c r="BW310" s="6"/>
      <c r="BX310" s="11"/>
    </row>
    <row r="311" spans="1:76" ht="15.7">
      <c r="A311" s="6"/>
      <c r="B311" s="7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  <c r="AZ311" s="6"/>
      <c r="BA311" s="6"/>
      <c r="BB311" s="6"/>
      <c r="BC311" s="6"/>
      <c r="BD311" s="6"/>
      <c r="BE311" s="6"/>
      <c r="BF311" s="6"/>
      <c r="BG311" s="6"/>
      <c r="BH311" s="6"/>
      <c r="BI311" s="6"/>
      <c r="BJ311" s="6"/>
      <c r="BK311" s="6"/>
      <c r="BL311" s="6"/>
      <c r="BM311" s="6"/>
      <c r="BN311" s="6"/>
      <c r="BO311" s="6"/>
      <c r="BP311" s="6"/>
      <c r="BQ311" s="6"/>
      <c r="BR311" s="6"/>
      <c r="BS311" s="6"/>
      <c r="BT311" s="6"/>
      <c r="BU311" s="6"/>
      <c r="BV311" s="6"/>
      <c r="BW311" s="6"/>
      <c r="BX311" s="11"/>
    </row>
    <row r="312" spans="1:76" ht="15.7">
      <c r="A312" s="6"/>
      <c r="B312" s="7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  <c r="AZ312" s="6"/>
      <c r="BA312" s="6"/>
      <c r="BB312" s="6"/>
      <c r="BC312" s="6"/>
      <c r="BD312" s="6"/>
      <c r="BE312" s="6"/>
      <c r="BF312" s="6"/>
      <c r="BG312" s="6"/>
      <c r="BH312" s="6"/>
      <c r="BI312" s="6"/>
      <c r="BJ312" s="6"/>
      <c r="BK312" s="6"/>
      <c r="BL312" s="6"/>
      <c r="BM312" s="6"/>
      <c r="BN312" s="6"/>
      <c r="BO312" s="6"/>
      <c r="BP312" s="6"/>
      <c r="BQ312" s="6"/>
      <c r="BR312" s="6"/>
      <c r="BS312" s="6"/>
      <c r="BT312" s="6"/>
      <c r="BU312" s="6"/>
      <c r="BV312" s="6"/>
      <c r="BW312" s="6"/>
      <c r="BX312" s="11"/>
    </row>
    <row r="313" spans="1:76" ht="15.7">
      <c r="A313" s="6"/>
      <c r="B313" s="7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  <c r="AZ313" s="6"/>
      <c r="BA313" s="6"/>
      <c r="BB313" s="6"/>
      <c r="BC313" s="6"/>
      <c r="BD313" s="6"/>
      <c r="BE313" s="6"/>
      <c r="BF313" s="6"/>
      <c r="BG313" s="6"/>
      <c r="BH313" s="6"/>
      <c r="BI313" s="6"/>
      <c r="BJ313" s="6"/>
      <c r="BK313" s="6"/>
      <c r="BL313" s="6"/>
      <c r="BM313" s="6"/>
      <c r="BN313" s="6"/>
      <c r="BO313" s="6"/>
      <c r="BP313" s="6"/>
      <c r="BQ313" s="6"/>
      <c r="BR313" s="6"/>
      <c r="BS313" s="6"/>
      <c r="BT313" s="6"/>
      <c r="BU313" s="6"/>
      <c r="BV313" s="6"/>
      <c r="BW313" s="6"/>
      <c r="BX313" s="11"/>
    </row>
    <row r="314" spans="1:76" ht="15.7">
      <c r="A314" s="6"/>
      <c r="B314" s="7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  <c r="AZ314" s="6"/>
      <c r="BA314" s="6"/>
      <c r="BB314" s="6"/>
      <c r="BC314" s="6"/>
      <c r="BD314" s="6"/>
      <c r="BE314" s="6"/>
      <c r="BF314" s="6"/>
      <c r="BG314" s="6"/>
      <c r="BH314" s="6"/>
      <c r="BI314" s="6"/>
      <c r="BJ314" s="6"/>
      <c r="BK314" s="6"/>
      <c r="BL314" s="6"/>
      <c r="BM314" s="6"/>
      <c r="BN314" s="6"/>
      <c r="BO314" s="6"/>
      <c r="BP314" s="6"/>
      <c r="BQ314" s="6"/>
      <c r="BR314" s="6"/>
      <c r="BS314" s="6"/>
      <c r="BT314" s="6"/>
      <c r="BU314" s="6"/>
      <c r="BV314" s="6"/>
      <c r="BW314" s="6"/>
      <c r="BX314" s="11"/>
    </row>
    <row r="315" spans="1:76" ht="15.7">
      <c r="A315" s="6"/>
      <c r="B315" s="7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  <c r="AZ315" s="6"/>
      <c r="BA315" s="6"/>
      <c r="BB315" s="6"/>
      <c r="BC315" s="6"/>
      <c r="BD315" s="6"/>
      <c r="BE315" s="6"/>
      <c r="BF315" s="6"/>
      <c r="BG315" s="6"/>
      <c r="BH315" s="6"/>
      <c r="BI315" s="6"/>
      <c r="BJ315" s="6"/>
      <c r="BK315" s="6"/>
      <c r="BL315" s="6"/>
      <c r="BM315" s="6"/>
      <c r="BN315" s="6"/>
      <c r="BO315" s="6"/>
      <c r="BP315" s="6"/>
      <c r="BQ315" s="6"/>
      <c r="BR315" s="6"/>
      <c r="BS315" s="6"/>
      <c r="BT315" s="6"/>
      <c r="BU315" s="6"/>
      <c r="BV315" s="6"/>
      <c r="BW315" s="6"/>
      <c r="BX315" s="11"/>
    </row>
    <row r="316" spans="1:76" ht="15.7">
      <c r="A316" s="6"/>
      <c r="B316" s="7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  <c r="AZ316" s="6"/>
      <c r="BA316" s="6"/>
      <c r="BB316" s="6"/>
      <c r="BC316" s="6"/>
      <c r="BD316" s="6"/>
      <c r="BE316" s="6"/>
      <c r="BF316" s="6"/>
      <c r="BG316" s="6"/>
      <c r="BH316" s="6"/>
      <c r="BI316" s="6"/>
      <c r="BJ316" s="6"/>
      <c r="BK316" s="6"/>
      <c r="BL316" s="6"/>
      <c r="BM316" s="6"/>
      <c r="BN316" s="6"/>
      <c r="BO316" s="6"/>
      <c r="BP316" s="6"/>
      <c r="BQ316" s="6"/>
      <c r="BR316" s="6"/>
      <c r="BS316" s="6"/>
      <c r="BT316" s="6"/>
      <c r="BU316" s="6"/>
      <c r="BV316" s="6"/>
      <c r="BW316" s="6"/>
      <c r="BX316" s="11"/>
    </row>
    <row r="317" spans="1:76" ht="15.7">
      <c r="A317" s="6"/>
      <c r="B317" s="7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  <c r="AZ317" s="6"/>
      <c r="BA317" s="6"/>
      <c r="BB317" s="6"/>
      <c r="BC317" s="6"/>
      <c r="BD317" s="6"/>
      <c r="BE317" s="6"/>
      <c r="BF317" s="6"/>
      <c r="BG317" s="6"/>
      <c r="BH317" s="6"/>
      <c r="BI317" s="6"/>
      <c r="BJ317" s="6"/>
      <c r="BK317" s="6"/>
      <c r="BL317" s="6"/>
      <c r="BM317" s="6"/>
      <c r="BN317" s="6"/>
      <c r="BO317" s="6"/>
      <c r="BP317" s="6"/>
      <c r="BQ317" s="6"/>
      <c r="BR317" s="6"/>
      <c r="BS317" s="6"/>
      <c r="BT317" s="6"/>
      <c r="BU317" s="6"/>
      <c r="BV317" s="6"/>
      <c r="BW317" s="6"/>
      <c r="BX317" s="11"/>
    </row>
    <row r="318" spans="1:76" ht="15.7">
      <c r="A318" s="6"/>
      <c r="B318" s="7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  <c r="AZ318" s="6"/>
      <c r="BA318" s="6"/>
      <c r="BB318" s="6"/>
      <c r="BC318" s="6"/>
      <c r="BD318" s="6"/>
      <c r="BE318" s="6"/>
      <c r="BF318" s="6"/>
      <c r="BG318" s="6"/>
      <c r="BH318" s="6"/>
      <c r="BI318" s="6"/>
      <c r="BJ318" s="6"/>
      <c r="BK318" s="6"/>
      <c r="BL318" s="6"/>
      <c r="BM318" s="6"/>
      <c r="BN318" s="6"/>
      <c r="BO318" s="6"/>
      <c r="BP318" s="6"/>
      <c r="BQ318" s="6"/>
      <c r="BR318" s="6"/>
      <c r="BS318" s="6"/>
      <c r="BT318" s="6"/>
      <c r="BU318" s="6"/>
      <c r="BV318" s="6"/>
      <c r="BW318" s="6"/>
      <c r="BX318" s="11"/>
    </row>
    <row r="319" spans="1:76" ht="15.7">
      <c r="A319" s="6"/>
      <c r="B319" s="7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  <c r="AZ319" s="6"/>
      <c r="BA319" s="6"/>
      <c r="BB319" s="6"/>
      <c r="BC319" s="6"/>
      <c r="BD319" s="6"/>
      <c r="BE319" s="6"/>
      <c r="BF319" s="6"/>
      <c r="BG319" s="6"/>
      <c r="BH319" s="6"/>
      <c r="BI319" s="6"/>
      <c r="BJ319" s="6"/>
      <c r="BK319" s="6"/>
      <c r="BL319" s="6"/>
      <c r="BM319" s="6"/>
      <c r="BN319" s="6"/>
      <c r="BO319" s="6"/>
      <c r="BP319" s="6"/>
      <c r="BQ319" s="6"/>
      <c r="BR319" s="6"/>
      <c r="BS319" s="6"/>
      <c r="BT319" s="6"/>
      <c r="BU319" s="6"/>
      <c r="BV319" s="6"/>
      <c r="BW319" s="6"/>
      <c r="BX319" s="11"/>
    </row>
    <row r="320" spans="1:76" ht="15.7">
      <c r="A320" s="6"/>
      <c r="B320" s="7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  <c r="AZ320" s="6"/>
      <c r="BA320" s="6"/>
      <c r="BB320" s="6"/>
      <c r="BC320" s="6"/>
      <c r="BD320" s="6"/>
      <c r="BE320" s="6"/>
      <c r="BF320" s="6"/>
      <c r="BG320" s="6"/>
      <c r="BH320" s="6"/>
      <c r="BI320" s="6"/>
      <c r="BJ320" s="6"/>
      <c r="BK320" s="6"/>
      <c r="BL320" s="6"/>
      <c r="BM320" s="6"/>
      <c r="BN320" s="6"/>
      <c r="BO320" s="6"/>
      <c r="BP320" s="6"/>
      <c r="BQ320" s="6"/>
      <c r="BR320" s="6"/>
      <c r="BS320" s="6"/>
      <c r="BT320" s="6"/>
      <c r="BU320" s="6"/>
      <c r="BV320" s="6"/>
      <c r="BW320" s="6"/>
      <c r="BX320" s="11"/>
    </row>
    <row r="321" spans="1:76" ht="15.7">
      <c r="A321" s="6"/>
      <c r="B321" s="7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  <c r="AZ321" s="6"/>
      <c r="BA321" s="6"/>
      <c r="BB321" s="6"/>
      <c r="BC321" s="6"/>
      <c r="BD321" s="6"/>
      <c r="BE321" s="6"/>
      <c r="BF321" s="6"/>
      <c r="BG321" s="6"/>
      <c r="BH321" s="6"/>
      <c r="BI321" s="6"/>
      <c r="BJ321" s="6"/>
      <c r="BK321" s="6"/>
      <c r="BL321" s="6"/>
      <c r="BM321" s="6"/>
      <c r="BN321" s="6"/>
      <c r="BO321" s="6"/>
      <c r="BP321" s="6"/>
      <c r="BQ321" s="6"/>
      <c r="BR321" s="6"/>
      <c r="BS321" s="6"/>
      <c r="BT321" s="6"/>
      <c r="BU321" s="6"/>
      <c r="BV321" s="6"/>
      <c r="BW321" s="6"/>
      <c r="BX321" s="11"/>
    </row>
    <row r="322" spans="1:76" ht="15.7">
      <c r="A322" s="6"/>
      <c r="B322" s="7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  <c r="AZ322" s="6"/>
      <c r="BA322" s="6"/>
      <c r="BB322" s="6"/>
      <c r="BC322" s="6"/>
      <c r="BD322" s="6"/>
      <c r="BE322" s="6"/>
      <c r="BF322" s="6"/>
      <c r="BG322" s="6"/>
      <c r="BH322" s="6"/>
      <c r="BI322" s="6"/>
      <c r="BJ322" s="6"/>
      <c r="BK322" s="6"/>
      <c r="BL322" s="6"/>
      <c r="BM322" s="6"/>
      <c r="BN322" s="6"/>
      <c r="BO322" s="6"/>
      <c r="BP322" s="6"/>
      <c r="BQ322" s="6"/>
      <c r="BR322" s="6"/>
      <c r="BS322" s="6"/>
      <c r="BT322" s="6"/>
      <c r="BU322" s="6"/>
      <c r="BV322" s="6"/>
      <c r="BW322" s="6"/>
      <c r="BX322" s="11"/>
    </row>
    <row r="323" spans="1:76" ht="15.7">
      <c r="A323" s="6"/>
      <c r="B323" s="7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  <c r="AZ323" s="6"/>
      <c r="BA323" s="6"/>
      <c r="BB323" s="6"/>
      <c r="BC323" s="6"/>
      <c r="BD323" s="6"/>
      <c r="BE323" s="6"/>
      <c r="BF323" s="6"/>
      <c r="BG323" s="6"/>
      <c r="BH323" s="6"/>
      <c r="BI323" s="6"/>
      <c r="BJ323" s="6"/>
      <c r="BK323" s="6"/>
      <c r="BL323" s="6"/>
      <c r="BM323" s="6"/>
      <c r="BN323" s="6"/>
      <c r="BO323" s="6"/>
      <c r="BP323" s="6"/>
      <c r="BQ323" s="6"/>
      <c r="BR323" s="6"/>
      <c r="BS323" s="6"/>
      <c r="BT323" s="6"/>
      <c r="BU323" s="6"/>
      <c r="BV323" s="6"/>
      <c r="BW323" s="6"/>
      <c r="BX323" s="11"/>
    </row>
    <row r="324" spans="1:76" ht="15.7">
      <c r="A324" s="6"/>
      <c r="B324" s="7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  <c r="AZ324" s="6"/>
      <c r="BA324" s="6"/>
      <c r="BB324" s="6"/>
      <c r="BC324" s="6"/>
      <c r="BD324" s="6"/>
      <c r="BE324" s="6"/>
      <c r="BF324" s="6"/>
      <c r="BG324" s="6"/>
      <c r="BH324" s="6"/>
      <c r="BI324" s="6"/>
      <c r="BJ324" s="6"/>
      <c r="BK324" s="6"/>
      <c r="BL324" s="6"/>
      <c r="BM324" s="6"/>
      <c r="BN324" s="6"/>
      <c r="BO324" s="6"/>
      <c r="BP324" s="6"/>
      <c r="BQ324" s="6"/>
      <c r="BR324" s="6"/>
      <c r="BS324" s="6"/>
      <c r="BT324" s="6"/>
      <c r="BU324" s="6"/>
      <c r="BV324" s="6"/>
      <c r="BW324" s="6"/>
      <c r="BX324" s="11"/>
    </row>
    <row r="325" spans="1:76" ht="15.7">
      <c r="A325" s="6"/>
      <c r="B325" s="7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  <c r="AZ325" s="6"/>
      <c r="BA325" s="6"/>
      <c r="BB325" s="6"/>
      <c r="BC325" s="6"/>
      <c r="BD325" s="6"/>
      <c r="BE325" s="6"/>
      <c r="BF325" s="6"/>
      <c r="BG325" s="6"/>
      <c r="BH325" s="6"/>
      <c r="BI325" s="6"/>
      <c r="BJ325" s="6"/>
      <c r="BK325" s="6"/>
      <c r="BL325" s="6"/>
      <c r="BM325" s="6"/>
      <c r="BN325" s="6"/>
      <c r="BO325" s="6"/>
      <c r="BP325" s="6"/>
      <c r="BQ325" s="6"/>
      <c r="BR325" s="6"/>
      <c r="BS325" s="6"/>
      <c r="BT325" s="6"/>
      <c r="BU325" s="6"/>
      <c r="BV325" s="6"/>
      <c r="BW325" s="6"/>
      <c r="BX325" s="11"/>
    </row>
    <row r="326" spans="1:76" ht="15.7">
      <c r="A326" s="6"/>
      <c r="B326" s="7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  <c r="AZ326" s="6"/>
      <c r="BA326" s="6"/>
      <c r="BB326" s="6"/>
      <c r="BC326" s="6"/>
      <c r="BD326" s="6"/>
      <c r="BE326" s="6"/>
      <c r="BF326" s="6"/>
      <c r="BG326" s="6"/>
      <c r="BH326" s="6"/>
      <c r="BI326" s="6"/>
      <c r="BJ326" s="6"/>
      <c r="BK326" s="6"/>
      <c r="BL326" s="6"/>
      <c r="BM326" s="6"/>
      <c r="BN326" s="6"/>
      <c r="BO326" s="6"/>
      <c r="BP326" s="6"/>
      <c r="BQ326" s="6"/>
      <c r="BR326" s="6"/>
      <c r="BS326" s="6"/>
      <c r="BT326" s="6"/>
      <c r="BU326" s="6"/>
      <c r="BV326" s="6"/>
      <c r="BW326" s="6"/>
      <c r="BX326" s="11"/>
    </row>
    <row r="327" spans="1:76" ht="15.7">
      <c r="A327" s="6"/>
      <c r="B327" s="7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  <c r="AZ327" s="6"/>
      <c r="BA327" s="6"/>
      <c r="BB327" s="6"/>
      <c r="BC327" s="6"/>
      <c r="BD327" s="6"/>
      <c r="BE327" s="6"/>
      <c r="BF327" s="6"/>
      <c r="BG327" s="6"/>
      <c r="BH327" s="6"/>
      <c r="BI327" s="6"/>
      <c r="BJ327" s="6"/>
      <c r="BK327" s="6"/>
      <c r="BL327" s="6"/>
      <c r="BM327" s="6"/>
      <c r="BN327" s="6"/>
      <c r="BO327" s="6"/>
      <c r="BP327" s="6"/>
      <c r="BQ327" s="6"/>
      <c r="BR327" s="6"/>
      <c r="BS327" s="6"/>
      <c r="BT327" s="6"/>
      <c r="BU327" s="6"/>
      <c r="BV327" s="6"/>
      <c r="BW327" s="6"/>
      <c r="BX327" s="11"/>
    </row>
    <row r="328" spans="1:76" ht="15.7">
      <c r="A328" s="6"/>
      <c r="B328" s="7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  <c r="AZ328" s="6"/>
      <c r="BA328" s="6"/>
      <c r="BB328" s="6"/>
      <c r="BC328" s="6"/>
      <c r="BD328" s="6"/>
      <c r="BE328" s="6"/>
      <c r="BF328" s="6"/>
      <c r="BG328" s="6"/>
      <c r="BH328" s="6"/>
      <c r="BI328" s="6"/>
      <c r="BJ328" s="6"/>
      <c r="BK328" s="6"/>
      <c r="BL328" s="6"/>
      <c r="BM328" s="6"/>
      <c r="BN328" s="6"/>
      <c r="BO328" s="6"/>
      <c r="BP328" s="6"/>
      <c r="BQ328" s="6"/>
      <c r="BR328" s="6"/>
      <c r="BS328" s="6"/>
      <c r="BT328" s="6"/>
      <c r="BU328" s="6"/>
      <c r="BV328" s="6"/>
      <c r="BW328" s="6"/>
      <c r="BX328" s="11"/>
    </row>
    <row r="329" spans="1:76" ht="15.7">
      <c r="A329" s="6"/>
      <c r="B329" s="7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  <c r="AZ329" s="6"/>
      <c r="BA329" s="6"/>
      <c r="BB329" s="6"/>
      <c r="BC329" s="6"/>
      <c r="BD329" s="6"/>
      <c r="BE329" s="6"/>
      <c r="BF329" s="6"/>
      <c r="BG329" s="6"/>
      <c r="BH329" s="6"/>
      <c r="BI329" s="6"/>
      <c r="BJ329" s="6"/>
      <c r="BK329" s="6"/>
      <c r="BL329" s="6"/>
      <c r="BM329" s="6"/>
      <c r="BN329" s="6"/>
      <c r="BO329" s="6"/>
      <c r="BP329" s="6"/>
      <c r="BQ329" s="6"/>
      <c r="BR329" s="6"/>
      <c r="BS329" s="6"/>
      <c r="BT329" s="6"/>
      <c r="BU329" s="6"/>
      <c r="BV329" s="6"/>
      <c r="BW329" s="6"/>
      <c r="BX329" s="11"/>
    </row>
    <row r="330" spans="1:76" ht="15.7">
      <c r="A330" s="6"/>
      <c r="B330" s="7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  <c r="AZ330" s="6"/>
      <c r="BA330" s="6"/>
      <c r="BB330" s="6"/>
      <c r="BC330" s="6"/>
      <c r="BD330" s="6"/>
      <c r="BE330" s="6"/>
      <c r="BF330" s="6"/>
      <c r="BG330" s="6"/>
      <c r="BH330" s="6"/>
      <c r="BI330" s="6"/>
      <c r="BJ330" s="6"/>
      <c r="BK330" s="6"/>
      <c r="BL330" s="6"/>
      <c r="BM330" s="6"/>
      <c r="BN330" s="6"/>
      <c r="BO330" s="6"/>
      <c r="BP330" s="6"/>
      <c r="BQ330" s="6"/>
      <c r="BR330" s="6"/>
      <c r="BS330" s="6"/>
      <c r="BT330" s="6"/>
      <c r="BU330" s="6"/>
      <c r="BV330" s="6"/>
      <c r="BW330" s="6"/>
      <c r="BX330" s="11"/>
    </row>
    <row r="331" spans="1:76" ht="15.7">
      <c r="A331" s="6"/>
      <c r="B331" s="7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  <c r="AZ331" s="6"/>
      <c r="BA331" s="6"/>
      <c r="BB331" s="6"/>
      <c r="BC331" s="6"/>
      <c r="BD331" s="6"/>
      <c r="BE331" s="6"/>
      <c r="BF331" s="6"/>
      <c r="BG331" s="6"/>
      <c r="BH331" s="6"/>
      <c r="BI331" s="6"/>
      <c r="BJ331" s="6"/>
      <c r="BK331" s="6"/>
      <c r="BL331" s="6"/>
      <c r="BM331" s="6"/>
      <c r="BN331" s="6"/>
      <c r="BO331" s="6"/>
      <c r="BP331" s="6"/>
      <c r="BQ331" s="6"/>
      <c r="BR331" s="6"/>
      <c r="BS331" s="6"/>
      <c r="BT331" s="6"/>
      <c r="BU331" s="6"/>
      <c r="BV331" s="6"/>
      <c r="BW331" s="6"/>
      <c r="BX331" s="11"/>
    </row>
    <row r="332" spans="1:76" ht="15.7">
      <c r="A332" s="6"/>
      <c r="B332" s="7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  <c r="AZ332" s="6"/>
      <c r="BA332" s="6"/>
      <c r="BB332" s="6"/>
      <c r="BC332" s="6"/>
      <c r="BD332" s="6"/>
      <c r="BE332" s="6"/>
      <c r="BF332" s="6"/>
      <c r="BG332" s="6"/>
      <c r="BH332" s="6"/>
      <c r="BI332" s="6"/>
      <c r="BJ332" s="6"/>
      <c r="BK332" s="6"/>
      <c r="BL332" s="6"/>
      <c r="BM332" s="6"/>
      <c r="BN332" s="6"/>
      <c r="BO332" s="6"/>
      <c r="BP332" s="6"/>
      <c r="BQ332" s="6"/>
      <c r="BR332" s="6"/>
      <c r="BS332" s="6"/>
      <c r="BT332" s="6"/>
      <c r="BU332" s="6"/>
      <c r="BV332" s="6"/>
      <c r="BW332" s="6"/>
      <c r="BX332" s="11"/>
    </row>
    <row r="333" spans="1:76" ht="15.7">
      <c r="A333" s="6"/>
      <c r="B333" s="7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  <c r="AZ333" s="6"/>
      <c r="BA333" s="6"/>
      <c r="BB333" s="6"/>
      <c r="BC333" s="6"/>
      <c r="BD333" s="6"/>
      <c r="BE333" s="6"/>
      <c r="BF333" s="6"/>
      <c r="BG333" s="6"/>
      <c r="BH333" s="6"/>
      <c r="BI333" s="6"/>
      <c r="BJ333" s="6"/>
      <c r="BK333" s="6"/>
      <c r="BL333" s="6"/>
      <c r="BM333" s="6"/>
      <c r="BN333" s="6"/>
      <c r="BO333" s="6"/>
      <c r="BP333" s="6"/>
      <c r="BQ333" s="6"/>
      <c r="BR333" s="6"/>
      <c r="BS333" s="6"/>
      <c r="BT333" s="6"/>
      <c r="BU333" s="6"/>
      <c r="BV333" s="6"/>
      <c r="BW333" s="6"/>
      <c r="BX333" s="11"/>
    </row>
    <row r="334" spans="1:76" ht="15.7">
      <c r="A334" s="6"/>
      <c r="B334" s="7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  <c r="AZ334" s="6"/>
      <c r="BA334" s="6"/>
      <c r="BB334" s="6"/>
      <c r="BC334" s="6"/>
      <c r="BD334" s="6"/>
      <c r="BE334" s="6"/>
      <c r="BF334" s="6"/>
      <c r="BG334" s="6"/>
      <c r="BH334" s="6"/>
      <c r="BI334" s="6"/>
      <c r="BJ334" s="6"/>
      <c r="BK334" s="6"/>
      <c r="BL334" s="6"/>
      <c r="BM334" s="6"/>
      <c r="BN334" s="6"/>
      <c r="BO334" s="6"/>
      <c r="BP334" s="6"/>
      <c r="BQ334" s="6"/>
      <c r="BR334" s="6"/>
      <c r="BS334" s="6"/>
      <c r="BT334" s="6"/>
      <c r="BU334" s="6"/>
      <c r="BV334" s="6"/>
      <c r="BW334" s="6"/>
      <c r="BX334" s="11"/>
    </row>
    <row r="335" spans="1:76" ht="15.7">
      <c r="A335" s="6"/>
      <c r="B335" s="7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  <c r="AZ335" s="6"/>
      <c r="BA335" s="6"/>
      <c r="BB335" s="6"/>
      <c r="BC335" s="6"/>
      <c r="BD335" s="6"/>
      <c r="BE335" s="6"/>
      <c r="BF335" s="6"/>
      <c r="BG335" s="6"/>
      <c r="BH335" s="6"/>
      <c r="BI335" s="6"/>
      <c r="BJ335" s="6"/>
      <c r="BK335" s="6"/>
      <c r="BL335" s="6"/>
      <c r="BM335" s="6"/>
      <c r="BN335" s="6"/>
      <c r="BO335" s="6"/>
      <c r="BP335" s="6"/>
      <c r="BQ335" s="6"/>
      <c r="BR335" s="6"/>
      <c r="BS335" s="6"/>
      <c r="BT335" s="6"/>
      <c r="BU335" s="6"/>
      <c r="BV335" s="6"/>
      <c r="BW335" s="6"/>
      <c r="BX335" s="11"/>
    </row>
    <row r="336" spans="1:76" ht="15.7">
      <c r="A336" s="6"/>
      <c r="B336" s="7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  <c r="AZ336" s="6"/>
      <c r="BA336" s="6"/>
      <c r="BB336" s="6"/>
      <c r="BC336" s="6"/>
      <c r="BD336" s="6"/>
      <c r="BE336" s="6"/>
      <c r="BF336" s="6"/>
      <c r="BG336" s="6"/>
      <c r="BH336" s="6"/>
      <c r="BI336" s="6"/>
      <c r="BJ336" s="6"/>
      <c r="BK336" s="6"/>
      <c r="BL336" s="6"/>
      <c r="BM336" s="6"/>
      <c r="BN336" s="6"/>
      <c r="BO336" s="6"/>
      <c r="BP336" s="6"/>
      <c r="BQ336" s="6"/>
      <c r="BR336" s="6"/>
      <c r="BS336" s="6"/>
      <c r="BT336" s="6"/>
      <c r="BU336" s="6"/>
      <c r="BV336" s="6"/>
      <c r="BW336" s="6"/>
      <c r="BX336" s="11"/>
    </row>
    <row r="337" spans="1:76" ht="15.7">
      <c r="A337" s="6"/>
      <c r="B337" s="7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  <c r="AZ337" s="6"/>
      <c r="BA337" s="6"/>
      <c r="BB337" s="6"/>
      <c r="BC337" s="6"/>
      <c r="BD337" s="6"/>
      <c r="BE337" s="6"/>
      <c r="BF337" s="6"/>
      <c r="BG337" s="6"/>
      <c r="BH337" s="6"/>
      <c r="BI337" s="6"/>
      <c r="BJ337" s="6"/>
      <c r="BK337" s="6"/>
      <c r="BL337" s="6"/>
      <c r="BM337" s="6"/>
      <c r="BN337" s="6"/>
      <c r="BO337" s="6"/>
      <c r="BP337" s="6"/>
      <c r="BQ337" s="6"/>
      <c r="BR337" s="6"/>
      <c r="BS337" s="6"/>
      <c r="BT337" s="6"/>
      <c r="BU337" s="6"/>
      <c r="BV337" s="6"/>
      <c r="BW337" s="6"/>
      <c r="BX337" s="11"/>
    </row>
    <row r="338" spans="1:76" ht="15.7">
      <c r="A338" s="6"/>
      <c r="B338" s="7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  <c r="AZ338" s="6"/>
      <c r="BA338" s="6"/>
      <c r="BB338" s="6"/>
      <c r="BC338" s="6"/>
      <c r="BD338" s="6"/>
      <c r="BE338" s="6"/>
      <c r="BF338" s="6"/>
      <c r="BG338" s="6"/>
      <c r="BH338" s="6"/>
      <c r="BI338" s="6"/>
      <c r="BJ338" s="6"/>
      <c r="BK338" s="6"/>
      <c r="BL338" s="6"/>
      <c r="BM338" s="6"/>
      <c r="BN338" s="6"/>
      <c r="BO338" s="6"/>
      <c r="BP338" s="6"/>
      <c r="BQ338" s="6"/>
      <c r="BR338" s="6"/>
      <c r="BS338" s="6"/>
      <c r="BT338" s="6"/>
      <c r="BU338" s="6"/>
      <c r="BV338" s="6"/>
      <c r="BW338" s="6"/>
      <c r="BX338" s="11"/>
    </row>
    <row r="339" spans="1:76" ht="15.7">
      <c r="A339" s="6"/>
      <c r="B339" s="7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  <c r="AZ339" s="6"/>
      <c r="BA339" s="6"/>
      <c r="BB339" s="6"/>
      <c r="BC339" s="6"/>
      <c r="BD339" s="6"/>
      <c r="BE339" s="6"/>
      <c r="BF339" s="6"/>
      <c r="BG339" s="6"/>
      <c r="BH339" s="6"/>
      <c r="BI339" s="6"/>
      <c r="BJ339" s="6"/>
      <c r="BK339" s="6"/>
      <c r="BL339" s="6"/>
      <c r="BM339" s="6"/>
      <c r="BN339" s="6"/>
      <c r="BO339" s="6"/>
      <c r="BP339" s="6"/>
      <c r="BQ339" s="6"/>
      <c r="BR339" s="6"/>
      <c r="BS339" s="6"/>
      <c r="BT339" s="6"/>
      <c r="BU339" s="6"/>
      <c r="BV339" s="6"/>
      <c r="BW339" s="6"/>
      <c r="BX339" s="11"/>
    </row>
    <row r="340" spans="1:76" ht="15.7">
      <c r="A340" s="6"/>
      <c r="B340" s="7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  <c r="AZ340" s="6"/>
      <c r="BA340" s="6"/>
      <c r="BB340" s="6"/>
      <c r="BC340" s="6"/>
      <c r="BD340" s="6"/>
      <c r="BE340" s="6"/>
      <c r="BF340" s="6"/>
      <c r="BG340" s="6"/>
      <c r="BH340" s="6"/>
      <c r="BI340" s="6"/>
      <c r="BJ340" s="6"/>
      <c r="BK340" s="6"/>
      <c r="BL340" s="6"/>
      <c r="BM340" s="6"/>
      <c r="BN340" s="6"/>
      <c r="BO340" s="6"/>
      <c r="BP340" s="6"/>
      <c r="BQ340" s="6"/>
      <c r="BR340" s="6"/>
      <c r="BS340" s="6"/>
      <c r="BT340" s="6"/>
      <c r="BU340" s="6"/>
      <c r="BV340" s="6"/>
      <c r="BW340" s="6"/>
      <c r="BX340" s="11"/>
    </row>
    <row r="341" spans="1:76" ht="15.7">
      <c r="A341" s="6"/>
      <c r="B341" s="7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  <c r="AZ341" s="6"/>
      <c r="BA341" s="6"/>
      <c r="BB341" s="6"/>
      <c r="BC341" s="6"/>
      <c r="BD341" s="6"/>
      <c r="BE341" s="6"/>
      <c r="BF341" s="6"/>
      <c r="BG341" s="6"/>
      <c r="BH341" s="6"/>
      <c r="BI341" s="6"/>
      <c r="BJ341" s="6"/>
      <c r="BK341" s="6"/>
      <c r="BL341" s="6"/>
      <c r="BM341" s="6"/>
      <c r="BN341" s="6"/>
      <c r="BO341" s="6"/>
      <c r="BP341" s="6"/>
      <c r="BQ341" s="6"/>
      <c r="BR341" s="6"/>
      <c r="BS341" s="6"/>
      <c r="BT341" s="6"/>
      <c r="BU341" s="6"/>
      <c r="BV341" s="6"/>
      <c r="BW341" s="6"/>
      <c r="BX341" s="11"/>
    </row>
    <row r="342" spans="1:76" ht="15.7">
      <c r="A342" s="6"/>
      <c r="B342" s="7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  <c r="AZ342" s="6"/>
      <c r="BA342" s="6"/>
      <c r="BB342" s="6"/>
      <c r="BC342" s="6"/>
      <c r="BD342" s="6"/>
      <c r="BE342" s="6"/>
      <c r="BF342" s="6"/>
      <c r="BG342" s="6"/>
      <c r="BH342" s="6"/>
      <c r="BI342" s="6"/>
      <c r="BJ342" s="6"/>
      <c r="BK342" s="6"/>
      <c r="BL342" s="6"/>
      <c r="BM342" s="6"/>
      <c r="BN342" s="6"/>
      <c r="BO342" s="6"/>
      <c r="BP342" s="6"/>
      <c r="BQ342" s="6"/>
      <c r="BR342" s="6"/>
      <c r="BS342" s="6"/>
      <c r="BT342" s="6"/>
      <c r="BU342" s="6"/>
      <c r="BV342" s="6"/>
      <c r="BW342" s="6"/>
      <c r="BX342" s="11"/>
    </row>
    <row r="343" spans="1:76" ht="15.7">
      <c r="A343" s="6"/>
      <c r="B343" s="7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  <c r="AZ343" s="6"/>
      <c r="BA343" s="6"/>
      <c r="BB343" s="6"/>
      <c r="BC343" s="6"/>
      <c r="BD343" s="6"/>
      <c r="BE343" s="6"/>
      <c r="BF343" s="6"/>
      <c r="BG343" s="6"/>
      <c r="BH343" s="6"/>
      <c r="BI343" s="6"/>
      <c r="BJ343" s="6"/>
      <c r="BK343" s="6"/>
      <c r="BL343" s="6"/>
      <c r="BM343" s="6"/>
      <c r="BN343" s="6"/>
      <c r="BO343" s="6"/>
      <c r="BP343" s="6"/>
      <c r="BQ343" s="6"/>
      <c r="BR343" s="6"/>
      <c r="BS343" s="6"/>
      <c r="BT343" s="6"/>
      <c r="BU343" s="6"/>
      <c r="BV343" s="6"/>
      <c r="BW343" s="6"/>
      <c r="BX343" s="11"/>
    </row>
    <row r="344" spans="1:76" ht="15.7">
      <c r="A344" s="6"/>
      <c r="B344" s="7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  <c r="AZ344" s="6"/>
      <c r="BA344" s="6"/>
      <c r="BB344" s="6"/>
      <c r="BC344" s="6"/>
      <c r="BD344" s="6"/>
      <c r="BE344" s="6"/>
      <c r="BF344" s="6"/>
      <c r="BG344" s="6"/>
      <c r="BH344" s="6"/>
      <c r="BI344" s="6"/>
      <c r="BJ344" s="6"/>
      <c r="BK344" s="6"/>
      <c r="BL344" s="6"/>
      <c r="BM344" s="6"/>
      <c r="BN344" s="6"/>
      <c r="BO344" s="6"/>
      <c r="BP344" s="6"/>
      <c r="BQ344" s="6"/>
      <c r="BR344" s="6"/>
      <c r="BS344" s="6"/>
      <c r="BT344" s="6"/>
      <c r="BU344" s="6"/>
      <c r="BV344" s="6"/>
      <c r="BW344" s="6"/>
      <c r="BX344" s="11"/>
    </row>
    <row r="345" spans="1:76" ht="15.7">
      <c r="A345" s="6"/>
      <c r="B345" s="7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  <c r="AZ345" s="6"/>
      <c r="BA345" s="6"/>
      <c r="BB345" s="6"/>
      <c r="BC345" s="6"/>
      <c r="BD345" s="6"/>
      <c r="BE345" s="6"/>
      <c r="BF345" s="6"/>
      <c r="BG345" s="6"/>
      <c r="BH345" s="6"/>
      <c r="BI345" s="6"/>
      <c r="BJ345" s="6"/>
      <c r="BK345" s="6"/>
      <c r="BL345" s="6"/>
      <c r="BM345" s="6"/>
      <c r="BN345" s="6"/>
      <c r="BO345" s="6"/>
      <c r="BP345" s="6"/>
      <c r="BQ345" s="6"/>
      <c r="BR345" s="6"/>
      <c r="BS345" s="6"/>
      <c r="BT345" s="6"/>
      <c r="BU345" s="6"/>
      <c r="BV345" s="6"/>
      <c r="BW345" s="6"/>
      <c r="BX345" s="11"/>
    </row>
    <row r="346" spans="1:76" ht="15.7">
      <c r="A346" s="6"/>
      <c r="B346" s="7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  <c r="AZ346" s="6"/>
      <c r="BA346" s="6"/>
      <c r="BB346" s="6"/>
      <c r="BC346" s="6"/>
      <c r="BD346" s="6"/>
      <c r="BE346" s="6"/>
      <c r="BF346" s="6"/>
      <c r="BG346" s="6"/>
      <c r="BH346" s="6"/>
      <c r="BI346" s="6"/>
      <c r="BJ346" s="6"/>
      <c r="BK346" s="6"/>
      <c r="BL346" s="6"/>
      <c r="BM346" s="6"/>
      <c r="BN346" s="6"/>
      <c r="BO346" s="6"/>
      <c r="BP346" s="6"/>
      <c r="BQ346" s="6"/>
      <c r="BR346" s="6"/>
      <c r="BS346" s="6"/>
      <c r="BT346" s="6"/>
      <c r="BU346" s="6"/>
      <c r="BV346" s="6"/>
      <c r="BW346" s="6"/>
      <c r="BX346" s="11"/>
    </row>
    <row r="347" spans="1:76" ht="15.7">
      <c r="A347" s="6"/>
      <c r="B347" s="7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  <c r="AZ347" s="6"/>
      <c r="BA347" s="6"/>
      <c r="BB347" s="6"/>
      <c r="BC347" s="6"/>
      <c r="BD347" s="6"/>
      <c r="BE347" s="6"/>
      <c r="BF347" s="6"/>
      <c r="BG347" s="6"/>
      <c r="BH347" s="6"/>
      <c r="BI347" s="6"/>
      <c r="BJ347" s="6"/>
      <c r="BK347" s="6"/>
      <c r="BL347" s="6"/>
      <c r="BM347" s="6"/>
      <c r="BN347" s="6"/>
      <c r="BO347" s="6"/>
      <c r="BP347" s="6"/>
      <c r="BQ347" s="6"/>
      <c r="BR347" s="6"/>
      <c r="BS347" s="6"/>
      <c r="BT347" s="6"/>
      <c r="BU347" s="6"/>
      <c r="BV347" s="6"/>
      <c r="BW347" s="6"/>
      <c r="BX347" s="11"/>
    </row>
    <row r="348" spans="1:76" ht="15.7">
      <c r="A348" s="6"/>
      <c r="B348" s="7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  <c r="AZ348" s="6"/>
      <c r="BA348" s="6"/>
      <c r="BB348" s="6"/>
      <c r="BC348" s="6"/>
      <c r="BD348" s="6"/>
      <c r="BE348" s="6"/>
      <c r="BF348" s="6"/>
      <c r="BG348" s="6"/>
      <c r="BH348" s="6"/>
      <c r="BI348" s="6"/>
      <c r="BJ348" s="6"/>
      <c r="BK348" s="6"/>
      <c r="BL348" s="6"/>
      <c r="BM348" s="6"/>
      <c r="BN348" s="6"/>
      <c r="BO348" s="6"/>
      <c r="BP348" s="6"/>
      <c r="BQ348" s="6"/>
      <c r="BR348" s="6"/>
      <c r="BS348" s="6"/>
      <c r="BT348" s="6"/>
      <c r="BU348" s="6"/>
      <c r="BV348" s="6"/>
      <c r="BW348" s="6"/>
      <c r="BX348" s="11"/>
    </row>
    <row r="349" spans="1:76" ht="15.7">
      <c r="A349" s="6"/>
      <c r="B349" s="7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  <c r="AZ349" s="6"/>
      <c r="BA349" s="6"/>
      <c r="BB349" s="6"/>
      <c r="BC349" s="6"/>
      <c r="BD349" s="6"/>
      <c r="BE349" s="6"/>
      <c r="BF349" s="6"/>
      <c r="BG349" s="6"/>
      <c r="BH349" s="6"/>
      <c r="BI349" s="6"/>
      <c r="BJ349" s="6"/>
      <c r="BK349" s="6"/>
      <c r="BL349" s="6"/>
      <c r="BM349" s="6"/>
      <c r="BN349" s="6"/>
      <c r="BO349" s="6"/>
      <c r="BP349" s="6"/>
      <c r="BQ349" s="6"/>
      <c r="BR349" s="6"/>
      <c r="BS349" s="6"/>
      <c r="BT349" s="6"/>
      <c r="BU349" s="6"/>
      <c r="BV349" s="6"/>
      <c r="BW349" s="6"/>
      <c r="BX349" s="11"/>
    </row>
    <row r="350" spans="1:76" ht="15.7">
      <c r="A350" s="6"/>
      <c r="B350" s="7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  <c r="AZ350" s="6"/>
      <c r="BA350" s="6"/>
      <c r="BB350" s="6"/>
      <c r="BC350" s="6"/>
      <c r="BD350" s="6"/>
      <c r="BE350" s="6"/>
      <c r="BF350" s="6"/>
      <c r="BG350" s="6"/>
      <c r="BH350" s="6"/>
      <c r="BI350" s="6"/>
      <c r="BJ350" s="6"/>
      <c r="BK350" s="6"/>
      <c r="BL350" s="6"/>
      <c r="BM350" s="6"/>
      <c r="BN350" s="6"/>
      <c r="BO350" s="6"/>
      <c r="BP350" s="6"/>
      <c r="BQ350" s="6"/>
      <c r="BR350" s="6"/>
      <c r="BS350" s="6"/>
      <c r="BT350" s="6"/>
      <c r="BU350" s="6"/>
      <c r="BV350" s="6"/>
      <c r="BW350" s="6"/>
      <c r="BX350" s="11"/>
    </row>
    <row r="351" spans="1:76" ht="15.7">
      <c r="A351" s="6"/>
      <c r="B351" s="7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  <c r="AZ351" s="6"/>
      <c r="BA351" s="6"/>
      <c r="BB351" s="6"/>
      <c r="BC351" s="6"/>
      <c r="BD351" s="6"/>
      <c r="BE351" s="6"/>
      <c r="BF351" s="6"/>
      <c r="BG351" s="6"/>
      <c r="BH351" s="6"/>
      <c r="BI351" s="6"/>
      <c r="BJ351" s="6"/>
      <c r="BK351" s="6"/>
      <c r="BL351" s="6"/>
      <c r="BM351" s="6"/>
      <c r="BN351" s="6"/>
      <c r="BO351" s="6"/>
      <c r="BP351" s="6"/>
      <c r="BQ351" s="6"/>
      <c r="BR351" s="6"/>
      <c r="BS351" s="6"/>
      <c r="BT351" s="6"/>
      <c r="BU351" s="6"/>
      <c r="BV351" s="6"/>
      <c r="BW351" s="6"/>
      <c r="BX351" s="11"/>
    </row>
    <row r="352" spans="1:76" ht="15.7">
      <c r="A352" s="6"/>
      <c r="B352" s="7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  <c r="AZ352" s="6"/>
      <c r="BA352" s="6"/>
      <c r="BB352" s="6"/>
      <c r="BC352" s="6"/>
      <c r="BD352" s="6"/>
      <c r="BE352" s="6"/>
      <c r="BF352" s="6"/>
      <c r="BG352" s="6"/>
      <c r="BH352" s="6"/>
      <c r="BI352" s="6"/>
      <c r="BJ352" s="6"/>
      <c r="BK352" s="6"/>
      <c r="BL352" s="6"/>
      <c r="BM352" s="6"/>
      <c r="BN352" s="6"/>
      <c r="BO352" s="6"/>
      <c r="BP352" s="6"/>
      <c r="BQ352" s="6"/>
      <c r="BR352" s="6"/>
      <c r="BS352" s="6"/>
      <c r="BT352" s="6"/>
      <c r="BU352" s="6"/>
      <c r="BV352" s="6"/>
      <c r="BW352" s="6"/>
      <c r="BX352" s="11"/>
    </row>
    <row r="353" spans="1:76" ht="15.7">
      <c r="A353" s="6"/>
      <c r="B353" s="7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  <c r="AZ353" s="6"/>
      <c r="BA353" s="6"/>
      <c r="BB353" s="6"/>
      <c r="BC353" s="6"/>
      <c r="BD353" s="6"/>
      <c r="BE353" s="6"/>
      <c r="BF353" s="6"/>
      <c r="BG353" s="6"/>
      <c r="BH353" s="6"/>
      <c r="BI353" s="6"/>
      <c r="BJ353" s="6"/>
      <c r="BK353" s="6"/>
      <c r="BL353" s="6"/>
      <c r="BM353" s="6"/>
      <c r="BN353" s="6"/>
      <c r="BO353" s="6"/>
      <c r="BP353" s="6"/>
      <c r="BQ353" s="6"/>
      <c r="BR353" s="6"/>
      <c r="BS353" s="6"/>
      <c r="BT353" s="6"/>
      <c r="BU353" s="6"/>
      <c r="BV353" s="6"/>
      <c r="BW353" s="6"/>
      <c r="BX353" s="11"/>
    </row>
    <row r="354" spans="1:76" ht="15.7">
      <c r="A354" s="6"/>
      <c r="B354" s="7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  <c r="AZ354" s="6"/>
      <c r="BA354" s="6"/>
      <c r="BB354" s="6"/>
      <c r="BC354" s="6"/>
      <c r="BD354" s="6"/>
      <c r="BE354" s="6"/>
      <c r="BF354" s="6"/>
      <c r="BG354" s="6"/>
      <c r="BH354" s="6"/>
      <c r="BI354" s="6"/>
      <c r="BJ354" s="6"/>
      <c r="BK354" s="6"/>
      <c r="BL354" s="6"/>
      <c r="BM354" s="6"/>
      <c r="BN354" s="6"/>
      <c r="BO354" s="6"/>
      <c r="BP354" s="6"/>
      <c r="BQ354" s="6"/>
      <c r="BR354" s="6"/>
      <c r="BS354" s="6"/>
      <c r="BT354" s="6"/>
      <c r="BU354" s="6"/>
      <c r="BV354" s="6"/>
      <c r="BW354" s="6"/>
      <c r="BX354" s="11"/>
    </row>
    <row r="355" spans="1:76" ht="15.7">
      <c r="A355" s="6"/>
      <c r="B355" s="7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  <c r="AZ355" s="6"/>
      <c r="BA355" s="6"/>
      <c r="BB355" s="6"/>
      <c r="BC355" s="6"/>
      <c r="BD355" s="6"/>
      <c r="BE355" s="6"/>
      <c r="BF355" s="6"/>
      <c r="BG355" s="6"/>
      <c r="BH355" s="6"/>
      <c r="BI355" s="6"/>
      <c r="BJ355" s="6"/>
      <c r="BK355" s="6"/>
      <c r="BL355" s="6"/>
      <c r="BM355" s="6"/>
      <c r="BN355" s="6"/>
      <c r="BO355" s="6"/>
      <c r="BP355" s="6"/>
      <c r="BQ355" s="6"/>
      <c r="BR355" s="6"/>
      <c r="BS355" s="6"/>
      <c r="BT355" s="6"/>
      <c r="BU355" s="6"/>
      <c r="BV355" s="6"/>
      <c r="BW355" s="6"/>
      <c r="BX355" s="11"/>
    </row>
    <row r="356" spans="1:76" ht="15.7">
      <c r="A356" s="6"/>
      <c r="B356" s="7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  <c r="AZ356" s="6"/>
      <c r="BA356" s="6"/>
      <c r="BB356" s="6"/>
      <c r="BC356" s="6"/>
      <c r="BD356" s="6"/>
      <c r="BE356" s="6"/>
      <c r="BF356" s="6"/>
      <c r="BG356" s="6"/>
      <c r="BH356" s="6"/>
      <c r="BI356" s="6"/>
      <c r="BJ356" s="6"/>
      <c r="BK356" s="6"/>
      <c r="BL356" s="6"/>
      <c r="BM356" s="6"/>
      <c r="BN356" s="6"/>
      <c r="BO356" s="6"/>
      <c r="BP356" s="6"/>
      <c r="BQ356" s="6"/>
      <c r="BR356" s="6"/>
      <c r="BS356" s="6"/>
      <c r="BT356" s="6"/>
      <c r="BU356" s="6"/>
      <c r="BV356" s="6"/>
      <c r="BW356" s="6"/>
      <c r="BX356" s="11"/>
    </row>
    <row r="357" spans="1:76" ht="15.7">
      <c r="A357" s="6"/>
      <c r="B357" s="7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  <c r="AZ357" s="6"/>
      <c r="BA357" s="6"/>
      <c r="BB357" s="6"/>
      <c r="BC357" s="6"/>
      <c r="BD357" s="6"/>
      <c r="BE357" s="6"/>
      <c r="BF357" s="6"/>
      <c r="BG357" s="6"/>
      <c r="BH357" s="6"/>
      <c r="BI357" s="6"/>
      <c r="BJ357" s="6"/>
      <c r="BK357" s="6"/>
      <c r="BL357" s="6"/>
      <c r="BM357" s="6"/>
      <c r="BN357" s="6"/>
      <c r="BO357" s="6"/>
      <c r="BP357" s="6"/>
      <c r="BQ357" s="6"/>
      <c r="BR357" s="6"/>
      <c r="BS357" s="6"/>
      <c r="BT357" s="6"/>
      <c r="BU357" s="6"/>
      <c r="BV357" s="6"/>
      <c r="BW357" s="6"/>
      <c r="BX357" s="11"/>
    </row>
    <row r="358" spans="1:76" ht="15.7">
      <c r="A358" s="6"/>
      <c r="B358" s="7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  <c r="AZ358" s="6"/>
      <c r="BA358" s="6"/>
      <c r="BB358" s="6"/>
      <c r="BC358" s="6"/>
      <c r="BD358" s="6"/>
      <c r="BE358" s="6"/>
      <c r="BF358" s="6"/>
      <c r="BG358" s="6"/>
      <c r="BH358" s="6"/>
      <c r="BI358" s="6"/>
      <c r="BJ358" s="6"/>
      <c r="BK358" s="6"/>
      <c r="BL358" s="6"/>
      <c r="BM358" s="6"/>
      <c r="BN358" s="6"/>
      <c r="BO358" s="6"/>
      <c r="BP358" s="6"/>
      <c r="BQ358" s="6"/>
      <c r="BR358" s="6"/>
      <c r="BS358" s="6"/>
      <c r="BT358" s="6"/>
      <c r="BU358" s="6"/>
      <c r="BV358" s="6"/>
      <c r="BW358" s="6"/>
      <c r="BX358" s="11"/>
    </row>
    <row r="359" spans="1:76" ht="15.7">
      <c r="A359" s="6"/>
      <c r="B359" s="7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  <c r="AZ359" s="6"/>
      <c r="BA359" s="6"/>
      <c r="BB359" s="6"/>
      <c r="BC359" s="6"/>
      <c r="BD359" s="6"/>
      <c r="BE359" s="6"/>
      <c r="BF359" s="6"/>
      <c r="BG359" s="6"/>
      <c r="BH359" s="6"/>
      <c r="BI359" s="6"/>
      <c r="BJ359" s="6"/>
      <c r="BK359" s="6"/>
      <c r="BL359" s="6"/>
      <c r="BM359" s="6"/>
      <c r="BN359" s="6"/>
      <c r="BO359" s="6"/>
      <c r="BP359" s="6"/>
      <c r="BQ359" s="6"/>
      <c r="BR359" s="6"/>
      <c r="BS359" s="6"/>
      <c r="BT359" s="6"/>
      <c r="BU359" s="6"/>
      <c r="BV359" s="6"/>
      <c r="BW359" s="6"/>
      <c r="BX359" s="11"/>
    </row>
    <row r="360" spans="1:76" ht="15.7">
      <c r="A360" s="6"/>
      <c r="B360" s="7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  <c r="AZ360" s="6"/>
      <c r="BA360" s="6"/>
      <c r="BB360" s="6"/>
      <c r="BC360" s="6"/>
      <c r="BD360" s="6"/>
      <c r="BE360" s="6"/>
      <c r="BF360" s="6"/>
      <c r="BG360" s="6"/>
      <c r="BH360" s="6"/>
      <c r="BI360" s="6"/>
      <c r="BJ360" s="6"/>
      <c r="BK360" s="6"/>
      <c r="BL360" s="6"/>
      <c r="BM360" s="6"/>
      <c r="BN360" s="6"/>
      <c r="BO360" s="6"/>
      <c r="BP360" s="6"/>
      <c r="BQ360" s="6"/>
      <c r="BR360" s="6"/>
      <c r="BS360" s="6"/>
      <c r="BT360" s="6"/>
      <c r="BU360" s="6"/>
      <c r="BV360" s="6"/>
      <c r="BW360" s="6"/>
      <c r="BX360" s="11"/>
    </row>
    <row r="361" spans="1:76" ht="15.7">
      <c r="A361" s="6"/>
      <c r="B361" s="7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  <c r="AZ361" s="6"/>
      <c r="BA361" s="6"/>
      <c r="BB361" s="6"/>
      <c r="BC361" s="6"/>
      <c r="BD361" s="6"/>
      <c r="BE361" s="6"/>
      <c r="BF361" s="6"/>
      <c r="BG361" s="6"/>
      <c r="BH361" s="6"/>
      <c r="BI361" s="6"/>
      <c r="BJ361" s="6"/>
      <c r="BK361" s="6"/>
      <c r="BL361" s="6"/>
      <c r="BM361" s="6"/>
      <c r="BN361" s="6"/>
      <c r="BO361" s="6"/>
      <c r="BP361" s="6"/>
      <c r="BQ361" s="6"/>
      <c r="BR361" s="6"/>
      <c r="BS361" s="6"/>
      <c r="BT361" s="6"/>
      <c r="BU361" s="6"/>
      <c r="BV361" s="6"/>
      <c r="BW361" s="6"/>
      <c r="BX361" s="11"/>
    </row>
    <row r="362" spans="1:76" ht="15.7">
      <c r="A362" s="6"/>
      <c r="B362" s="7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  <c r="AZ362" s="6"/>
      <c r="BA362" s="6"/>
      <c r="BB362" s="6"/>
      <c r="BC362" s="6"/>
      <c r="BD362" s="6"/>
      <c r="BE362" s="6"/>
      <c r="BF362" s="6"/>
      <c r="BG362" s="6"/>
      <c r="BH362" s="6"/>
      <c r="BI362" s="6"/>
      <c r="BJ362" s="6"/>
      <c r="BK362" s="6"/>
      <c r="BL362" s="6"/>
      <c r="BM362" s="6"/>
      <c r="BN362" s="6"/>
      <c r="BO362" s="6"/>
      <c r="BP362" s="6"/>
      <c r="BQ362" s="6"/>
      <c r="BR362" s="6"/>
      <c r="BS362" s="6"/>
      <c r="BT362" s="6"/>
      <c r="BU362" s="6"/>
      <c r="BV362" s="6"/>
      <c r="BW362" s="6"/>
      <c r="BX362" s="11"/>
    </row>
    <row r="363" spans="1:76" ht="15.7">
      <c r="A363" s="6"/>
      <c r="B363" s="7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  <c r="AZ363" s="6"/>
      <c r="BA363" s="6"/>
      <c r="BB363" s="6"/>
      <c r="BC363" s="6"/>
      <c r="BD363" s="6"/>
      <c r="BE363" s="6"/>
      <c r="BF363" s="6"/>
      <c r="BG363" s="6"/>
      <c r="BH363" s="6"/>
      <c r="BI363" s="6"/>
      <c r="BJ363" s="6"/>
      <c r="BK363" s="6"/>
      <c r="BL363" s="6"/>
      <c r="BM363" s="6"/>
      <c r="BN363" s="6"/>
      <c r="BO363" s="6"/>
      <c r="BP363" s="6"/>
      <c r="BQ363" s="6"/>
      <c r="BR363" s="6"/>
      <c r="BS363" s="6"/>
      <c r="BT363" s="6"/>
      <c r="BU363" s="6"/>
      <c r="BV363" s="6"/>
      <c r="BW363" s="6"/>
      <c r="BX363" s="11"/>
    </row>
    <row r="364" spans="1:76" ht="15.7">
      <c r="A364" s="6"/>
      <c r="B364" s="7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  <c r="AZ364" s="6"/>
      <c r="BA364" s="6"/>
      <c r="BB364" s="6"/>
      <c r="BC364" s="6"/>
      <c r="BD364" s="6"/>
      <c r="BE364" s="6"/>
      <c r="BF364" s="6"/>
      <c r="BG364" s="6"/>
      <c r="BH364" s="6"/>
      <c r="BI364" s="6"/>
      <c r="BJ364" s="6"/>
      <c r="BK364" s="6"/>
      <c r="BL364" s="6"/>
      <c r="BM364" s="6"/>
      <c r="BN364" s="6"/>
      <c r="BO364" s="6"/>
      <c r="BP364" s="6"/>
      <c r="BQ364" s="6"/>
      <c r="BR364" s="6"/>
      <c r="BS364" s="6"/>
      <c r="BT364" s="6"/>
      <c r="BU364" s="6"/>
      <c r="BV364" s="6"/>
      <c r="BW364" s="6"/>
      <c r="BX364" s="11"/>
    </row>
    <row r="365" spans="1:76" ht="15.7">
      <c r="A365" s="6"/>
      <c r="B365" s="7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  <c r="AZ365" s="6"/>
      <c r="BA365" s="6"/>
      <c r="BB365" s="6"/>
      <c r="BC365" s="6"/>
      <c r="BD365" s="6"/>
      <c r="BE365" s="6"/>
      <c r="BF365" s="6"/>
      <c r="BG365" s="6"/>
      <c r="BH365" s="6"/>
      <c r="BI365" s="6"/>
      <c r="BJ365" s="6"/>
      <c r="BK365" s="6"/>
      <c r="BL365" s="6"/>
      <c r="BM365" s="6"/>
      <c r="BN365" s="6"/>
      <c r="BO365" s="6"/>
      <c r="BP365" s="6"/>
      <c r="BQ365" s="6"/>
      <c r="BR365" s="6"/>
      <c r="BS365" s="6"/>
      <c r="BT365" s="6"/>
      <c r="BU365" s="6"/>
      <c r="BV365" s="6"/>
      <c r="BW365" s="6"/>
      <c r="BX365" s="11"/>
    </row>
    <row r="366" spans="1:76" ht="15.7">
      <c r="A366" s="6"/>
      <c r="B366" s="7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  <c r="AZ366" s="6"/>
      <c r="BA366" s="6"/>
      <c r="BB366" s="6"/>
      <c r="BC366" s="6"/>
      <c r="BD366" s="6"/>
      <c r="BE366" s="6"/>
      <c r="BF366" s="6"/>
      <c r="BG366" s="6"/>
      <c r="BH366" s="6"/>
      <c r="BI366" s="6"/>
      <c r="BJ366" s="6"/>
      <c r="BK366" s="6"/>
      <c r="BL366" s="6"/>
      <c r="BM366" s="6"/>
      <c r="BN366" s="6"/>
      <c r="BO366" s="6"/>
      <c r="BP366" s="6"/>
      <c r="BQ366" s="6"/>
      <c r="BR366" s="6"/>
      <c r="BS366" s="6"/>
      <c r="BT366" s="6"/>
      <c r="BU366" s="6"/>
      <c r="BV366" s="6"/>
      <c r="BW366" s="6"/>
      <c r="BX366" s="11"/>
    </row>
    <row r="367" spans="1:76" ht="15.7">
      <c r="A367" s="6"/>
      <c r="B367" s="7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  <c r="AZ367" s="6"/>
      <c r="BA367" s="6"/>
      <c r="BB367" s="6"/>
      <c r="BC367" s="6"/>
      <c r="BD367" s="6"/>
      <c r="BE367" s="6"/>
      <c r="BF367" s="6"/>
      <c r="BG367" s="6"/>
      <c r="BH367" s="6"/>
      <c r="BI367" s="6"/>
      <c r="BJ367" s="6"/>
      <c r="BK367" s="6"/>
      <c r="BL367" s="6"/>
      <c r="BM367" s="6"/>
      <c r="BN367" s="6"/>
      <c r="BO367" s="6"/>
      <c r="BP367" s="6"/>
      <c r="BQ367" s="6"/>
      <c r="BR367" s="6"/>
      <c r="BS367" s="6"/>
      <c r="BT367" s="6"/>
      <c r="BU367" s="6"/>
      <c r="BV367" s="6"/>
      <c r="BW367" s="6"/>
      <c r="BX367" s="11"/>
    </row>
    <row r="368" spans="1:76" ht="15.7">
      <c r="A368" s="6"/>
      <c r="B368" s="7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  <c r="AZ368" s="6"/>
      <c r="BA368" s="6"/>
      <c r="BB368" s="6"/>
      <c r="BC368" s="6"/>
      <c r="BD368" s="6"/>
      <c r="BE368" s="6"/>
      <c r="BF368" s="6"/>
      <c r="BG368" s="6"/>
      <c r="BH368" s="6"/>
      <c r="BI368" s="6"/>
      <c r="BJ368" s="6"/>
      <c r="BK368" s="6"/>
      <c r="BL368" s="6"/>
      <c r="BM368" s="6"/>
      <c r="BN368" s="6"/>
      <c r="BO368" s="6"/>
      <c r="BP368" s="6"/>
      <c r="BQ368" s="6"/>
      <c r="BR368" s="6"/>
      <c r="BS368" s="6"/>
      <c r="BT368" s="6"/>
      <c r="BU368" s="6"/>
      <c r="BV368" s="6"/>
      <c r="BW368" s="6"/>
      <c r="BX368" s="11"/>
    </row>
    <row r="369" spans="1:76" ht="15.7">
      <c r="A369" s="6"/>
      <c r="B369" s="7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  <c r="AZ369" s="6"/>
      <c r="BA369" s="6"/>
      <c r="BB369" s="6"/>
      <c r="BC369" s="6"/>
      <c r="BD369" s="6"/>
      <c r="BE369" s="6"/>
      <c r="BF369" s="6"/>
      <c r="BG369" s="6"/>
      <c r="BH369" s="6"/>
      <c r="BI369" s="6"/>
      <c r="BJ369" s="6"/>
      <c r="BK369" s="6"/>
      <c r="BL369" s="6"/>
      <c r="BM369" s="6"/>
      <c r="BN369" s="6"/>
      <c r="BO369" s="6"/>
      <c r="BP369" s="6"/>
      <c r="BQ369" s="6"/>
      <c r="BR369" s="6"/>
      <c r="BS369" s="6"/>
      <c r="BT369" s="6"/>
      <c r="BU369" s="6"/>
      <c r="BV369" s="6"/>
      <c r="BW369" s="6"/>
      <c r="BX369" s="11"/>
    </row>
    <row r="370" spans="1:76" ht="15.7">
      <c r="A370" s="6"/>
      <c r="B370" s="7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  <c r="AZ370" s="6"/>
      <c r="BA370" s="6"/>
      <c r="BB370" s="6"/>
      <c r="BC370" s="6"/>
      <c r="BD370" s="6"/>
      <c r="BE370" s="6"/>
      <c r="BF370" s="6"/>
      <c r="BG370" s="6"/>
      <c r="BH370" s="6"/>
      <c r="BI370" s="6"/>
      <c r="BJ370" s="6"/>
      <c r="BK370" s="6"/>
      <c r="BL370" s="6"/>
      <c r="BM370" s="6"/>
      <c r="BN370" s="6"/>
      <c r="BO370" s="6"/>
      <c r="BP370" s="6"/>
      <c r="BQ370" s="6"/>
      <c r="BR370" s="6"/>
      <c r="BS370" s="6"/>
      <c r="BT370" s="6"/>
      <c r="BU370" s="6"/>
      <c r="BV370" s="6"/>
      <c r="BW370" s="6"/>
      <c r="BX370" s="11"/>
    </row>
    <row r="371" spans="1:76" ht="15.7">
      <c r="A371" s="6"/>
      <c r="B371" s="7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  <c r="AZ371" s="6"/>
      <c r="BA371" s="6"/>
      <c r="BB371" s="6"/>
      <c r="BC371" s="6"/>
      <c r="BD371" s="6"/>
      <c r="BE371" s="6"/>
      <c r="BF371" s="6"/>
      <c r="BG371" s="6"/>
      <c r="BH371" s="6"/>
      <c r="BI371" s="6"/>
      <c r="BJ371" s="6"/>
      <c r="BK371" s="6"/>
      <c r="BL371" s="6"/>
      <c r="BM371" s="6"/>
      <c r="BN371" s="6"/>
      <c r="BO371" s="6"/>
      <c r="BP371" s="6"/>
      <c r="BQ371" s="6"/>
      <c r="BR371" s="6"/>
      <c r="BS371" s="6"/>
      <c r="BT371" s="6"/>
      <c r="BU371" s="6"/>
      <c r="BV371" s="6"/>
      <c r="BW371" s="6"/>
      <c r="BX371" s="11"/>
    </row>
    <row r="372" spans="1:76" ht="15.7">
      <c r="A372" s="6"/>
      <c r="B372" s="7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  <c r="AZ372" s="6"/>
      <c r="BA372" s="6"/>
      <c r="BB372" s="6"/>
      <c r="BC372" s="6"/>
      <c r="BD372" s="6"/>
      <c r="BE372" s="6"/>
      <c r="BF372" s="6"/>
      <c r="BG372" s="6"/>
      <c r="BH372" s="6"/>
      <c r="BI372" s="6"/>
      <c r="BJ372" s="6"/>
      <c r="BK372" s="6"/>
      <c r="BL372" s="6"/>
      <c r="BM372" s="6"/>
      <c r="BN372" s="6"/>
      <c r="BO372" s="6"/>
      <c r="BP372" s="6"/>
      <c r="BQ372" s="6"/>
      <c r="BR372" s="6"/>
      <c r="BS372" s="6"/>
      <c r="BT372" s="6"/>
      <c r="BU372" s="6"/>
      <c r="BV372" s="6"/>
      <c r="BW372" s="6"/>
      <c r="BX372" s="11"/>
    </row>
    <row r="373" spans="1:76" ht="15.7">
      <c r="A373" s="6"/>
      <c r="B373" s="7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  <c r="AZ373" s="6"/>
      <c r="BA373" s="6"/>
      <c r="BB373" s="6"/>
      <c r="BC373" s="6"/>
      <c r="BD373" s="6"/>
      <c r="BE373" s="6"/>
      <c r="BF373" s="6"/>
      <c r="BG373" s="6"/>
      <c r="BH373" s="6"/>
      <c r="BI373" s="6"/>
      <c r="BJ373" s="6"/>
      <c r="BK373" s="6"/>
      <c r="BL373" s="6"/>
      <c r="BM373" s="6"/>
      <c r="BN373" s="6"/>
      <c r="BO373" s="6"/>
      <c r="BP373" s="6"/>
      <c r="BQ373" s="6"/>
      <c r="BR373" s="6"/>
      <c r="BS373" s="6"/>
      <c r="BT373" s="6"/>
      <c r="BU373" s="6"/>
      <c r="BV373" s="6"/>
      <c r="BW373" s="6"/>
      <c r="BX373" s="11"/>
    </row>
    <row r="374" spans="1:76" ht="15.7">
      <c r="A374" s="6"/>
      <c r="B374" s="7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  <c r="AZ374" s="6"/>
      <c r="BA374" s="6"/>
      <c r="BB374" s="6"/>
      <c r="BC374" s="6"/>
      <c r="BD374" s="6"/>
      <c r="BE374" s="6"/>
      <c r="BF374" s="6"/>
      <c r="BG374" s="6"/>
      <c r="BH374" s="6"/>
      <c r="BI374" s="6"/>
      <c r="BJ374" s="6"/>
      <c r="BK374" s="6"/>
      <c r="BL374" s="6"/>
      <c r="BM374" s="6"/>
      <c r="BN374" s="6"/>
      <c r="BO374" s="6"/>
      <c r="BP374" s="6"/>
      <c r="BQ374" s="6"/>
      <c r="BR374" s="6"/>
      <c r="BS374" s="6"/>
      <c r="BT374" s="6"/>
      <c r="BU374" s="6"/>
      <c r="BV374" s="6"/>
      <c r="BW374" s="6"/>
      <c r="BX374" s="11"/>
    </row>
    <row r="375" spans="1:76" ht="15.7">
      <c r="A375" s="6"/>
      <c r="B375" s="7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  <c r="AZ375" s="6"/>
      <c r="BA375" s="6"/>
      <c r="BB375" s="6"/>
      <c r="BC375" s="6"/>
      <c r="BD375" s="6"/>
      <c r="BE375" s="6"/>
      <c r="BF375" s="6"/>
      <c r="BG375" s="6"/>
      <c r="BH375" s="6"/>
      <c r="BI375" s="6"/>
      <c r="BJ375" s="6"/>
      <c r="BK375" s="6"/>
      <c r="BL375" s="6"/>
      <c r="BM375" s="6"/>
      <c r="BN375" s="6"/>
      <c r="BO375" s="6"/>
      <c r="BP375" s="6"/>
      <c r="BQ375" s="6"/>
      <c r="BR375" s="6"/>
      <c r="BS375" s="6"/>
      <c r="BT375" s="6"/>
      <c r="BU375" s="6"/>
      <c r="BV375" s="6"/>
      <c r="BW375" s="6"/>
      <c r="BX375" s="11"/>
    </row>
    <row r="376" spans="1:76" ht="15.7">
      <c r="A376" s="6"/>
      <c r="B376" s="7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  <c r="AZ376" s="6"/>
      <c r="BA376" s="6"/>
      <c r="BB376" s="6"/>
      <c r="BC376" s="6"/>
      <c r="BD376" s="6"/>
      <c r="BE376" s="6"/>
      <c r="BF376" s="6"/>
      <c r="BG376" s="6"/>
      <c r="BH376" s="6"/>
      <c r="BI376" s="6"/>
      <c r="BJ376" s="6"/>
      <c r="BK376" s="6"/>
      <c r="BL376" s="6"/>
      <c r="BM376" s="6"/>
      <c r="BN376" s="6"/>
      <c r="BO376" s="6"/>
      <c r="BP376" s="6"/>
      <c r="BQ376" s="6"/>
      <c r="BR376" s="6"/>
      <c r="BS376" s="6"/>
      <c r="BT376" s="6"/>
      <c r="BU376" s="6"/>
      <c r="BV376" s="6"/>
      <c r="BW376" s="6"/>
      <c r="BX376" s="11"/>
    </row>
    <row r="377" spans="1:76" ht="15.7">
      <c r="A377" s="6"/>
      <c r="B377" s="7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  <c r="AZ377" s="6"/>
      <c r="BA377" s="6"/>
      <c r="BB377" s="6"/>
      <c r="BC377" s="6"/>
      <c r="BD377" s="6"/>
      <c r="BE377" s="6"/>
      <c r="BF377" s="6"/>
      <c r="BG377" s="6"/>
      <c r="BH377" s="6"/>
      <c r="BI377" s="6"/>
      <c r="BJ377" s="6"/>
      <c r="BK377" s="6"/>
      <c r="BL377" s="6"/>
      <c r="BM377" s="6"/>
      <c r="BN377" s="6"/>
      <c r="BO377" s="6"/>
      <c r="BP377" s="6"/>
      <c r="BQ377" s="6"/>
      <c r="BR377" s="6"/>
      <c r="BS377" s="6"/>
      <c r="BT377" s="6"/>
      <c r="BU377" s="6"/>
      <c r="BV377" s="6"/>
      <c r="BW377" s="6"/>
      <c r="BX377" s="11"/>
    </row>
    <row r="378" spans="1:76" ht="15.7">
      <c r="A378" s="6"/>
      <c r="B378" s="7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  <c r="AZ378" s="6"/>
      <c r="BA378" s="6"/>
      <c r="BB378" s="6"/>
      <c r="BC378" s="6"/>
      <c r="BD378" s="6"/>
      <c r="BE378" s="6"/>
      <c r="BF378" s="6"/>
      <c r="BG378" s="6"/>
      <c r="BH378" s="6"/>
      <c r="BI378" s="6"/>
      <c r="BJ378" s="6"/>
      <c r="BK378" s="6"/>
      <c r="BL378" s="6"/>
      <c r="BM378" s="6"/>
      <c r="BN378" s="6"/>
      <c r="BO378" s="6"/>
      <c r="BP378" s="6"/>
      <c r="BQ378" s="6"/>
      <c r="BR378" s="6"/>
      <c r="BS378" s="6"/>
      <c r="BT378" s="6"/>
      <c r="BU378" s="6"/>
      <c r="BV378" s="6"/>
      <c r="BW378" s="6"/>
      <c r="BX378" s="11"/>
    </row>
    <row r="379" spans="1:76" ht="15.7">
      <c r="A379" s="6"/>
      <c r="B379" s="7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  <c r="AZ379" s="6"/>
      <c r="BA379" s="6"/>
      <c r="BB379" s="6"/>
      <c r="BC379" s="6"/>
      <c r="BD379" s="6"/>
      <c r="BE379" s="6"/>
      <c r="BF379" s="6"/>
      <c r="BG379" s="6"/>
      <c r="BH379" s="6"/>
      <c r="BI379" s="6"/>
      <c r="BJ379" s="6"/>
      <c r="BK379" s="6"/>
      <c r="BL379" s="6"/>
      <c r="BM379" s="6"/>
      <c r="BN379" s="6"/>
      <c r="BO379" s="6"/>
      <c r="BP379" s="6"/>
      <c r="BQ379" s="6"/>
      <c r="BR379" s="6"/>
      <c r="BS379" s="6"/>
      <c r="BT379" s="6"/>
      <c r="BU379" s="6"/>
      <c r="BV379" s="6"/>
      <c r="BW379" s="6"/>
      <c r="BX379" s="11"/>
    </row>
    <row r="380" spans="1:76" ht="15.7">
      <c r="A380" s="6"/>
      <c r="B380" s="7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  <c r="AZ380" s="6"/>
      <c r="BA380" s="6"/>
      <c r="BB380" s="6"/>
      <c r="BC380" s="6"/>
      <c r="BD380" s="6"/>
      <c r="BE380" s="6"/>
      <c r="BF380" s="6"/>
      <c r="BG380" s="6"/>
      <c r="BH380" s="6"/>
      <c r="BI380" s="6"/>
      <c r="BJ380" s="6"/>
      <c r="BK380" s="6"/>
      <c r="BL380" s="6"/>
      <c r="BM380" s="6"/>
      <c r="BN380" s="6"/>
      <c r="BO380" s="6"/>
      <c r="BP380" s="6"/>
      <c r="BQ380" s="6"/>
      <c r="BR380" s="6"/>
      <c r="BS380" s="6"/>
      <c r="BT380" s="6"/>
      <c r="BU380" s="6"/>
      <c r="BV380" s="6"/>
      <c r="BW380" s="6"/>
      <c r="BX380" s="11"/>
    </row>
    <row r="381" spans="1:76" ht="15.7">
      <c r="A381" s="6"/>
      <c r="B381" s="7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  <c r="AZ381" s="6"/>
      <c r="BA381" s="6"/>
      <c r="BB381" s="6"/>
      <c r="BC381" s="6"/>
      <c r="BD381" s="6"/>
      <c r="BE381" s="6"/>
      <c r="BF381" s="6"/>
      <c r="BG381" s="6"/>
      <c r="BH381" s="6"/>
      <c r="BI381" s="6"/>
      <c r="BJ381" s="6"/>
      <c r="BK381" s="6"/>
      <c r="BL381" s="6"/>
      <c r="BM381" s="6"/>
      <c r="BN381" s="6"/>
      <c r="BO381" s="6"/>
      <c r="BP381" s="6"/>
      <c r="BQ381" s="6"/>
      <c r="BR381" s="6"/>
      <c r="BS381" s="6"/>
      <c r="BT381" s="6"/>
      <c r="BU381" s="6"/>
      <c r="BV381" s="6"/>
      <c r="BW381" s="6"/>
      <c r="BX381" s="11"/>
    </row>
    <row r="382" spans="1:76" ht="15.7">
      <c r="A382" s="6"/>
      <c r="B382" s="7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  <c r="AZ382" s="6"/>
      <c r="BA382" s="6"/>
      <c r="BB382" s="6"/>
      <c r="BC382" s="6"/>
      <c r="BD382" s="6"/>
      <c r="BE382" s="6"/>
      <c r="BF382" s="6"/>
      <c r="BG382" s="6"/>
      <c r="BH382" s="6"/>
      <c r="BI382" s="6"/>
      <c r="BJ382" s="6"/>
      <c r="BK382" s="6"/>
      <c r="BL382" s="6"/>
      <c r="BM382" s="6"/>
      <c r="BN382" s="6"/>
      <c r="BO382" s="6"/>
      <c r="BP382" s="6"/>
      <c r="BQ382" s="6"/>
      <c r="BR382" s="6"/>
      <c r="BS382" s="6"/>
      <c r="BT382" s="6"/>
      <c r="BU382" s="6"/>
      <c r="BV382" s="6"/>
      <c r="BW382" s="6"/>
      <c r="BX382" s="11"/>
    </row>
    <row r="383" spans="1:76" ht="15.7">
      <c r="A383" s="6"/>
      <c r="B383" s="7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  <c r="AZ383" s="6"/>
      <c r="BA383" s="6"/>
      <c r="BB383" s="6"/>
      <c r="BC383" s="6"/>
      <c r="BD383" s="6"/>
      <c r="BE383" s="6"/>
      <c r="BF383" s="6"/>
      <c r="BG383" s="6"/>
      <c r="BH383" s="6"/>
      <c r="BI383" s="6"/>
      <c r="BJ383" s="6"/>
      <c r="BK383" s="6"/>
      <c r="BL383" s="6"/>
      <c r="BM383" s="6"/>
      <c r="BN383" s="6"/>
      <c r="BO383" s="6"/>
      <c r="BP383" s="6"/>
      <c r="BQ383" s="6"/>
      <c r="BR383" s="6"/>
      <c r="BS383" s="6"/>
      <c r="BT383" s="6"/>
      <c r="BU383" s="6"/>
      <c r="BV383" s="6"/>
      <c r="BW383" s="6"/>
      <c r="BX383" s="11"/>
    </row>
    <row r="384" spans="1:76" ht="15.7">
      <c r="A384" s="6"/>
      <c r="B384" s="7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  <c r="AZ384" s="6"/>
      <c r="BA384" s="6"/>
      <c r="BB384" s="6"/>
      <c r="BC384" s="6"/>
      <c r="BD384" s="6"/>
      <c r="BE384" s="6"/>
      <c r="BF384" s="6"/>
      <c r="BG384" s="6"/>
      <c r="BH384" s="6"/>
      <c r="BI384" s="6"/>
      <c r="BJ384" s="6"/>
      <c r="BK384" s="6"/>
      <c r="BL384" s="6"/>
      <c r="BM384" s="6"/>
      <c r="BN384" s="6"/>
      <c r="BO384" s="6"/>
      <c r="BP384" s="6"/>
      <c r="BQ384" s="6"/>
      <c r="BR384" s="6"/>
      <c r="BS384" s="6"/>
      <c r="BT384" s="6"/>
      <c r="BU384" s="6"/>
      <c r="BV384" s="6"/>
      <c r="BW384" s="6"/>
      <c r="BX384" s="11"/>
    </row>
    <row r="385" spans="1:76" ht="15.7">
      <c r="A385" s="6"/>
      <c r="B385" s="7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  <c r="AZ385" s="6"/>
      <c r="BA385" s="6"/>
      <c r="BB385" s="6"/>
      <c r="BC385" s="6"/>
      <c r="BD385" s="6"/>
      <c r="BE385" s="6"/>
      <c r="BF385" s="6"/>
      <c r="BG385" s="6"/>
      <c r="BH385" s="6"/>
      <c r="BI385" s="6"/>
      <c r="BJ385" s="6"/>
      <c r="BK385" s="6"/>
      <c r="BL385" s="6"/>
      <c r="BM385" s="6"/>
      <c r="BN385" s="6"/>
      <c r="BO385" s="6"/>
      <c r="BP385" s="6"/>
      <c r="BQ385" s="6"/>
      <c r="BR385" s="6"/>
      <c r="BS385" s="6"/>
      <c r="BT385" s="6"/>
      <c r="BU385" s="6"/>
      <c r="BV385" s="6"/>
      <c r="BW385" s="6"/>
      <c r="BX385" s="11"/>
    </row>
    <row r="386" spans="1:76" ht="15.7">
      <c r="A386" s="6"/>
      <c r="B386" s="7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  <c r="AZ386" s="6"/>
      <c r="BA386" s="6"/>
      <c r="BB386" s="6"/>
      <c r="BC386" s="6"/>
      <c r="BD386" s="6"/>
      <c r="BE386" s="6"/>
      <c r="BF386" s="6"/>
      <c r="BG386" s="6"/>
      <c r="BH386" s="6"/>
      <c r="BI386" s="6"/>
      <c r="BJ386" s="6"/>
      <c r="BK386" s="6"/>
      <c r="BL386" s="6"/>
      <c r="BM386" s="6"/>
      <c r="BN386" s="6"/>
      <c r="BO386" s="6"/>
      <c r="BP386" s="6"/>
      <c r="BQ386" s="6"/>
      <c r="BR386" s="6"/>
      <c r="BS386" s="6"/>
      <c r="BT386" s="6"/>
      <c r="BU386" s="6"/>
      <c r="BV386" s="6"/>
      <c r="BW386" s="6"/>
      <c r="BX386" s="11"/>
    </row>
    <row r="387" spans="1:76" ht="15.7">
      <c r="A387" s="6"/>
      <c r="B387" s="7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  <c r="AZ387" s="6"/>
      <c r="BA387" s="6"/>
      <c r="BB387" s="6"/>
      <c r="BC387" s="6"/>
      <c r="BD387" s="6"/>
      <c r="BE387" s="6"/>
      <c r="BF387" s="6"/>
      <c r="BG387" s="6"/>
      <c r="BH387" s="6"/>
      <c r="BI387" s="6"/>
      <c r="BJ387" s="6"/>
      <c r="BK387" s="6"/>
      <c r="BL387" s="6"/>
      <c r="BM387" s="6"/>
      <c r="BN387" s="6"/>
      <c r="BO387" s="6"/>
      <c r="BP387" s="6"/>
      <c r="BQ387" s="6"/>
      <c r="BR387" s="6"/>
      <c r="BS387" s="6"/>
      <c r="BT387" s="6"/>
      <c r="BU387" s="6"/>
      <c r="BV387" s="6"/>
      <c r="BW387" s="6"/>
      <c r="BX387" s="11"/>
    </row>
    <row r="388" spans="1:76" ht="15.7">
      <c r="A388" s="6"/>
      <c r="B388" s="7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  <c r="AZ388" s="6"/>
      <c r="BA388" s="6"/>
      <c r="BB388" s="6"/>
      <c r="BC388" s="6"/>
      <c r="BD388" s="6"/>
      <c r="BE388" s="6"/>
      <c r="BF388" s="6"/>
      <c r="BG388" s="6"/>
      <c r="BH388" s="6"/>
      <c r="BI388" s="6"/>
      <c r="BJ388" s="6"/>
      <c r="BK388" s="6"/>
      <c r="BL388" s="6"/>
      <c r="BM388" s="6"/>
      <c r="BN388" s="6"/>
      <c r="BO388" s="6"/>
      <c r="BP388" s="6"/>
      <c r="BQ388" s="6"/>
      <c r="BR388" s="6"/>
      <c r="BS388" s="6"/>
      <c r="BT388" s="6"/>
      <c r="BU388" s="6"/>
      <c r="BV388" s="6"/>
      <c r="BW388" s="6"/>
      <c r="BX388" s="11"/>
    </row>
    <row r="389" spans="1:76" ht="15.7">
      <c r="A389" s="6"/>
      <c r="B389" s="7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  <c r="AZ389" s="6"/>
      <c r="BA389" s="6"/>
      <c r="BB389" s="6"/>
      <c r="BC389" s="6"/>
      <c r="BD389" s="6"/>
      <c r="BE389" s="6"/>
      <c r="BF389" s="6"/>
      <c r="BG389" s="6"/>
      <c r="BH389" s="6"/>
      <c r="BI389" s="6"/>
      <c r="BJ389" s="6"/>
      <c r="BK389" s="6"/>
      <c r="BL389" s="6"/>
      <c r="BM389" s="6"/>
      <c r="BN389" s="6"/>
      <c r="BO389" s="6"/>
      <c r="BP389" s="6"/>
      <c r="BQ389" s="6"/>
      <c r="BR389" s="6"/>
      <c r="BS389" s="6"/>
      <c r="BT389" s="6"/>
      <c r="BU389" s="6"/>
      <c r="BV389" s="6"/>
      <c r="BW389" s="6"/>
      <c r="BX389" s="11"/>
    </row>
    <row r="390" spans="1:76" ht="15.7">
      <c r="A390" s="6"/>
      <c r="B390" s="7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  <c r="AZ390" s="6"/>
      <c r="BA390" s="6"/>
      <c r="BB390" s="6"/>
      <c r="BC390" s="6"/>
      <c r="BD390" s="6"/>
      <c r="BE390" s="6"/>
      <c r="BF390" s="6"/>
      <c r="BG390" s="6"/>
      <c r="BH390" s="6"/>
      <c r="BI390" s="6"/>
      <c r="BJ390" s="6"/>
      <c r="BK390" s="6"/>
      <c r="BL390" s="6"/>
      <c r="BM390" s="6"/>
      <c r="BN390" s="6"/>
      <c r="BO390" s="6"/>
      <c r="BP390" s="6"/>
      <c r="BQ390" s="6"/>
      <c r="BR390" s="6"/>
      <c r="BS390" s="6"/>
      <c r="BT390" s="6"/>
      <c r="BU390" s="6"/>
      <c r="BV390" s="6"/>
      <c r="BW390" s="6"/>
      <c r="BX390" s="11"/>
    </row>
    <row r="391" spans="1:76" ht="15.7">
      <c r="A391" s="6"/>
      <c r="B391" s="7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  <c r="AZ391" s="6"/>
      <c r="BA391" s="6"/>
      <c r="BB391" s="6"/>
      <c r="BC391" s="6"/>
      <c r="BD391" s="6"/>
      <c r="BE391" s="6"/>
      <c r="BF391" s="6"/>
      <c r="BG391" s="6"/>
      <c r="BH391" s="6"/>
      <c r="BI391" s="6"/>
      <c r="BJ391" s="6"/>
      <c r="BK391" s="6"/>
      <c r="BL391" s="6"/>
      <c r="BM391" s="6"/>
      <c r="BN391" s="6"/>
      <c r="BO391" s="6"/>
      <c r="BP391" s="6"/>
      <c r="BQ391" s="6"/>
      <c r="BR391" s="6"/>
      <c r="BS391" s="6"/>
      <c r="BT391" s="6"/>
      <c r="BU391" s="6"/>
      <c r="BV391" s="6"/>
      <c r="BW391" s="6"/>
      <c r="BX391" s="11"/>
    </row>
    <row r="392" spans="1:76" ht="15.7">
      <c r="A392" s="6"/>
      <c r="B392" s="7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  <c r="AZ392" s="6"/>
      <c r="BA392" s="6"/>
      <c r="BB392" s="6"/>
      <c r="BC392" s="6"/>
      <c r="BD392" s="6"/>
      <c r="BE392" s="6"/>
      <c r="BF392" s="6"/>
      <c r="BG392" s="6"/>
      <c r="BH392" s="6"/>
      <c r="BI392" s="6"/>
      <c r="BJ392" s="6"/>
      <c r="BK392" s="6"/>
      <c r="BL392" s="6"/>
      <c r="BM392" s="6"/>
      <c r="BN392" s="6"/>
      <c r="BO392" s="6"/>
      <c r="BP392" s="6"/>
      <c r="BQ392" s="6"/>
      <c r="BR392" s="6"/>
      <c r="BS392" s="6"/>
      <c r="BT392" s="6"/>
      <c r="BU392" s="6"/>
      <c r="BV392" s="6"/>
      <c r="BW392" s="6"/>
      <c r="BX392" s="11"/>
    </row>
    <row r="393" spans="1:76" ht="15.7">
      <c r="A393" s="6"/>
      <c r="B393" s="7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  <c r="AZ393" s="6"/>
      <c r="BA393" s="6"/>
      <c r="BB393" s="6"/>
      <c r="BC393" s="6"/>
      <c r="BD393" s="6"/>
      <c r="BE393" s="6"/>
      <c r="BF393" s="6"/>
      <c r="BG393" s="6"/>
      <c r="BH393" s="6"/>
      <c r="BI393" s="6"/>
      <c r="BJ393" s="6"/>
      <c r="BK393" s="6"/>
      <c r="BL393" s="6"/>
      <c r="BM393" s="6"/>
      <c r="BN393" s="6"/>
      <c r="BO393" s="6"/>
      <c r="BP393" s="6"/>
      <c r="BQ393" s="6"/>
      <c r="BR393" s="6"/>
      <c r="BS393" s="6"/>
      <c r="BT393" s="6"/>
      <c r="BU393" s="6"/>
      <c r="BV393" s="6"/>
      <c r="BW393" s="6"/>
      <c r="BX393" s="11"/>
    </row>
    <row r="394" spans="1:76" ht="15.7">
      <c r="A394" s="6"/>
      <c r="B394" s="7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  <c r="AZ394" s="6"/>
      <c r="BA394" s="6"/>
      <c r="BB394" s="6"/>
      <c r="BC394" s="6"/>
      <c r="BD394" s="6"/>
      <c r="BE394" s="6"/>
      <c r="BF394" s="6"/>
      <c r="BG394" s="6"/>
      <c r="BH394" s="6"/>
      <c r="BI394" s="6"/>
      <c r="BJ394" s="6"/>
      <c r="BK394" s="6"/>
      <c r="BL394" s="6"/>
      <c r="BM394" s="6"/>
      <c r="BN394" s="6"/>
      <c r="BO394" s="6"/>
      <c r="BP394" s="6"/>
      <c r="BQ394" s="6"/>
      <c r="BR394" s="6"/>
      <c r="BS394" s="6"/>
      <c r="BT394" s="6"/>
      <c r="BU394" s="6"/>
      <c r="BV394" s="6"/>
      <c r="BW394" s="6"/>
      <c r="BX394" s="11"/>
    </row>
    <row r="395" spans="1:76" ht="15.7">
      <c r="A395" s="6"/>
      <c r="B395" s="7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  <c r="AZ395" s="6"/>
      <c r="BA395" s="6"/>
      <c r="BB395" s="6"/>
      <c r="BC395" s="6"/>
      <c r="BD395" s="6"/>
      <c r="BE395" s="6"/>
      <c r="BF395" s="6"/>
      <c r="BG395" s="6"/>
      <c r="BH395" s="6"/>
      <c r="BI395" s="6"/>
      <c r="BJ395" s="6"/>
      <c r="BK395" s="6"/>
      <c r="BL395" s="6"/>
      <c r="BM395" s="6"/>
      <c r="BN395" s="6"/>
      <c r="BO395" s="6"/>
      <c r="BP395" s="6"/>
      <c r="BQ395" s="6"/>
      <c r="BR395" s="6"/>
      <c r="BS395" s="6"/>
      <c r="BT395" s="6"/>
      <c r="BU395" s="6"/>
      <c r="BV395" s="6"/>
      <c r="BW395" s="6"/>
      <c r="BX395" s="11"/>
    </row>
    <row r="396" spans="1:76" ht="15.7">
      <c r="A396" s="6"/>
      <c r="B396" s="7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  <c r="AZ396" s="6"/>
      <c r="BA396" s="6"/>
      <c r="BB396" s="6"/>
      <c r="BC396" s="6"/>
      <c r="BD396" s="6"/>
      <c r="BE396" s="6"/>
      <c r="BF396" s="6"/>
      <c r="BG396" s="6"/>
      <c r="BH396" s="6"/>
      <c r="BI396" s="6"/>
      <c r="BJ396" s="6"/>
      <c r="BK396" s="6"/>
      <c r="BL396" s="6"/>
      <c r="BM396" s="6"/>
      <c r="BN396" s="6"/>
      <c r="BO396" s="6"/>
      <c r="BP396" s="6"/>
      <c r="BQ396" s="6"/>
      <c r="BR396" s="6"/>
      <c r="BS396" s="6"/>
      <c r="BT396" s="6"/>
      <c r="BU396" s="6"/>
      <c r="BV396" s="6"/>
      <c r="BW396" s="6"/>
      <c r="BX396" s="11"/>
    </row>
    <row r="397" spans="1:76" ht="15.7">
      <c r="A397" s="6"/>
      <c r="B397" s="7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  <c r="AZ397" s="6"/>
      <c r="BA397" s="6"/>
      <c r="BB397" s="6"/>
      <c r="BC397" s="6"/>
      <c r="BD397" s="6"/>
      <c r="BE397" s="6"/>
      <c r="BF397" s="6"/>
      <c r="BG397" s="6"/>
      <c r="BH397" s="6"/>
      <c r="BI397" s="6"/>
      <c r="BJ397" s="6"/>
      <c r="BK397" s="6"/>
      <c r="BL397" s="6"/>
      <c r="BM397" s="6"/>
      <c r="BN397" s="6"/>
      <c r="BO397" s="6"/>
      <c r="BP397" s="6"/>
      <c r="BQ397" s="6"/>
      <c r="BR397" s="6"/>
      <c r="BS397" s="6"/>
      <c r="BT397" s="6"/>
      <c r="BU397" s="6"/>
      <c r="BV397" s="6"/>
      <c r="BW397" s="6"/>
      <c r="BX397" s="11"/>
    </row>
    <row r="398" spans="1:76" ht="15.7">
      <c r="A398" s="6"/>
      <c r="B398" s="7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  <c r="AZ398" s="6"/>
      <c r="BA398" s="6"/>
      <c r="BB398" s="6"/>
      <c r="BC398" s="6"/>
      <c r="BD398" s="6"/>
      <c r="BE398" s="6"/>
      <c r="BF398" s="6"/>
      <c r="BG398" s="6"/>
      <c r="BH398" s="6"/>
      <c r="BI398" s="6"/>
      <c r="BJ398" s="6"/>
      <c r="BK398" s="6"/>
      <c r="BL398" s="6"/>
      <c r="BM398" s="6"/>
      <c r="BN398" s="6"/>
      <c r="BO398" s="6"/>
      <c r="BP398" s="6"/>
      <c r="BQ398" s="6"/>
      <c r="BR398" s="6"/>
      <c r="BS398" s="6"/>
      <c r="BT398" s="6"/>
      <c r="BU398" s="6"/>
      <c r="BV398" s="6"/>
      <c r="BW398" s="6"/>
      <c r="BX398" s="11"/>
    </row>
    <row r="399" spans="1:76" ht="15.7">
      <c r="A399" s="6"/>
      <c r="B399" s="7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  <c r="AZ399" s="6"/>
      <c r="BA399" s="6"/>
      <c r="BB399" s="6"/>
      <c r="BC399" s="6"/>
      <c r="BD399" s="6"/>
      <c r="BE399" s="6"/>
      <c r="BF399" s="6"/>
      <c r="BG399" s="6"/>
      <c r="BH399" s="6"/>
      <c r="BI399" s="6"/>
      <c r="BJ399" s="6"/>
      <c r="BK399" s="6"/>
      <c r="BL399" s="6"/>
      <c r="BM399" s="6"/>
      <c r="BN399" s="6"/>
      <c r="BO399" s="6"/>
      <c r="BP399" s="6"/>
      <c r="BQ399" s="6"/>
      <c r="BR399" s="6"/>
      <c r="BS399" s="6"/>
      <c r="BT399" s="6"/>
      <c r="BU399" s="6"/>
      <c r="BV399" s="6"/>
      <c r="BW399" s="6"/>
      <c r="BX399" s="11"/>
    </row>
    <row r="400" spans="1:76" ht="15.7">
      <c r="A400" s="6"/>
      <c r="B400" s="7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  <c r="AZ400" s="6"/>
      <c r="BA400" s="6"/>
      <c r="BB400" s="6"/>
      <c r="BC400" s="6"/>
      <c r="BD400" s="6"/>
      <c r="BE400" s="6"/>
      <c r="BF400" s="6"/>
      <c r="BG400" s="6"/>
      <c r="BH400" s="6"/>
      <c r="BI400" s="6"/>
      <c r="BJ400" s="6"/>
      <c r="BK400" s="6"/>
      <c r="BL400" s="6"/>
      <c r="BM400" s="6"/>
      <c r="BN400" s="6"/>
      <c r="BO400" s="6"/>
      <c r="BP400" s="6"/>
      <c r="BQ400" s="6"/>
      <c r="BR400" s="6"/>
      <c r="BS400" s="6"/>
      <c r="BT400" s="6"/>
      <c r="BU400" s="6"/>
      <c r="BV400" s="6"/>
      <c r="BW400" s="6"/>
      <c r="BX400" s="11"/>
    </row>
    <row r="401" spans="1:76" ht="15.7">
      <c r="A401" s="6"/>
      <c r="B401" s="7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  <c r="AZ401" s="6"/>
      <c r="BA401" s="6"/>
      <c r="BB401" s="6"/>
      <c r="BC401" s="6"/>
      <c r="BD401" s="6"/>
      <c r="BE401" s="6"/>
      <c r="BF401" s="6"/>
      <c r="BG401" s="6"/>
      <c r="BH401" s="6"/>
      <c r="BI401" s="6"/>
      <c r="BJ401" s="6"/>
      <c r="BK401" s="6"/>
      <c r="BL401" s="6"/>
      <c r="BM401" s="6"/>
      <c r="BN401" s="6"/>
      <c r="BO401" s="6"/>
      <c r="BP401" s="6"/>
      <c r="BQ401" s="6"/>
      <c r="BR401" s="6"/>
      <c r="BS401" s="6"/>
      <c r="BT401" s="6"/>
      <c r="BU401" s="6"/>
      <c r="BV401" s="6"/>
      <c r="BW401" s="6"/>
      <c r="BX401" s="11"/>
    </row>
    <row r="402" spans="1:76" ht="15.7">
      <c r="A402" s="6"/>
      <c r="B402" s="7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  <c r="AZ402" s="6"/>
      <c r="BA402" s="6"/>
      <c r="BB402" s="6"/>
      <c r="BC402" s="6"/>
      <c r="BD402" s="6"/>
      <c r="BE402" s="6"/>
      <c r="BF402" s="6"/>
      <c r="BG402" s="6"/>
      <c r="BH402" s="6"/>
      <c r="BI402" s="6"/>
      <c r="BJ402" s="6"/>
      <c r="BK402" s="6"/>
      <c r="BL402" s="6"/>
      <c r="BM402" s="6"/>
      <c r="BN402" s="6"/>
      <c r="BO402" s="6"/>
      <c r="BP402" s="6"/>
      <c r="BQ402" s="6"/>
      <c r="BR402" s="6"/>
      <c r="BS402" s="6"/>
      <c r="BT402" s="6"/>
      <c r="BU402" s="6"/>
      <c r="BV402" s="6"/>
      <c r="BW402" s="6"/>
      <c r="BX402" s="11"/>
    </row>
    <row r="403" spans="1:76" ht="15.7">
      <c r="A403" s="6"/>
      <c r="B403" s="7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  <c r="AZ403" s="6"/>
      <c r="BA403" s="6"/>
      <c r="BB403" s="6"/>
      <c r="BC403" s="6"/>
      <c r="BD403" s="6"/>
      <c r="BE403" s="6"/>
      <c r="BF403" s="6"/>
      <c r="BG403" s="6"/>
      <c r="BH403" s="6"/>
      <c r="BI403" s="6"/>
      <c r="BJ403" s="6"/>
      <c r="BK403" s="6"/>
      <c r="BL403" s="6"/>
      <c r="BM403" s="6"/>
      <c r="BN403" s="6"/>
      <c r="BO403" s="6"/>
      <c r="BP403" s="6"/>
      <c r="BQ403" s="6"/>
      <c r="BR403" s="6"/>
      <c r="BS403" s="6"/>
      <c r="BT403" s="6"/>
      <c r="BU403" s="6"/>
      <c r="BV403" s="6"/>
      <c r="BW403" s="6"/>
      <c r="BX403" s="11"/>
    </row>
    <row r="404" spans="1:76" ht="15.7">
      <c r="A404" s="6"/>
      <c r="B404" s="7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  <c r="AZ404" s="6"/>
      <c r="BA404" s="6"/>
      <c r="BB404" s="6"/>
      <c r="BC404" s="6"/>
      <c r="BD404" s="6"/>
      <c r="BE404" s="6"/>
      <c r="BF404" s="6"/>
      <c r="BG404" s="6"/>
      <c r="BH404" s="6"/>
      <c r="BI404" s="6"/>
      <c r="BJ404" s="6"/>
      <c r="BK404" s="6"/>
      <c r="BL404" s="6"/>
      <c r="BM404" s="6"/>
      <c r="BN404" s="6"/>
      <c r="BO404" s="6"/>
      <c r="BP404" s="6"/>
      <c r="BQ404" s="6"/>
      <c r="BR404" s="6"/>
      <c r="BS404" s="6"/>
      <c r="BT404" s="6"/>
      <c r="BU404" s="6"/>
      <c r="BV404" s="6"/>
      <c r="BW404" s="6"/>
      <c r="BX404" s="11"/>
    </row>
    <row r="405" spans="1:76" ht="15.7">
      <c r="A405" s="6"/>
      <c r="B405" s="7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  <c r="AZ405" s="6"/>
      <c r="BA405" s="6"/>
      <c r="BB405" s="6"/>
      <c r="BC405" s="6"/>
      <c r="BD405" s="6"/>
      <c r="BE405" s="6"/>
      <c r="BF405" s="6"/>
      <c r="BG405" s="6"/>
      <c r="BH405" s="6"/>
      <c r="BI405" s="6"/>
      <c r="BJ405" s="6"/>
      <c r="BK405" s="6"/>
      <c r="BL405" s="6"/>
      <c r="BM405" s="6"/>
      <c r="BN405" s="6"/>
      <c r="BO405" s="6"/>
      <c r="BP405" s="6"/>
      <c r="BQ405" s="6"/>
      <c r="BR405" s="6"/>
      <c r="BS405" s="6"/>
      <c r="BT405" s="6"/>
      <c r="BU405" s="6"/>
      <c r="BV405" s="6"/>
      <c r="BW405" s="6"/>
      <c r="BX405" s="11"/>
    </row>
    <row r="406" spans="1:76" ht="15.7">
      <c r="A406" s="6"/>
      <c r="B406" s="7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  <c r="AZ406" s="6"/>
      <c r="BA406" s="6"/>
      <c r="BB406" s="6"/>
      <c r="BC406" s="6"/>
      <c r="BD406" s="6"/>
      <c r="BE406" s="6"/>
      <c r="BF406" s="6"/>
      <c r="BG406" s="6"/>
      <c r="BH406" s="6"/>
      <c r="BI406" s="6"/>
      <c r="BJ406" s="6"/>
      <c r="BK406" s="6"/>
      <c r="BL406" s="6"/>
      <c r="BM406" s="6"/>
      <c r="BN406" s="6"/>
      <c r="BO406" s="6"/>
      <c r="BP406" s="6"/>
      <c r="BQ406" s="6"/>
      <c r="BR406" s="6"/>
      <c r="BS406" s="6"/>
      <c r="BT406" s="6"/>
      <c r="BU406" s="6"/>
      <c r="BV406" s="6"/>
      <c r="BW406" s="6"/>
      <c r="BX406" s="11"/>
    </row>
    <row r="407" spans="1:76" ht="15.7">
      <c r="A407" s="6"/>
      <c r="B407" s="7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  <c r="AZ407" s="6"/>
      <c r="BA407" s="6"/>
      <c r="BB407" s="6"/>
      <c r="BC407" s="6"/>
      <c r="BD407" s="6"/>
      <c r="BE407" s="6"/>
      <c r="BF407" s="6"/>
      <c r="BG407" s="6"/>
      <c r="BH407" s="6"/>
      <c r="BI407" s="6"/>
      <c r="BJ407" s="6"/>
      <c r="BK407" s="6"/>
      <c r="BL407" s="6"/>
      <c r="BM407" s="6"/>
      <c r="BN407" s="6"/>
      <c r="BO407" s="6"/>
      <c r="BP407" s="6"/>
      <c r="BQ407" s="6"/>
      <c r="BR407" s="6"/>
      <c r="BS407" s="6"/>
      <c r="BT407" s="6"/>
      <c r="BU407" s="6"/>
      <c r="BV407" s="6"/>
      <c r="BW407" s="6"/>
      <c r="BX407" s="11"/>
    </row>
    <row r="408" spans="1:76" ht="15.7">
      <c r="A408" s="6"/>
      <c r="B408" s="7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  <c r="AZ408" s="6"/>
      <c r="BA408" s="6"/>
      <c r="BB408" s="6"/>
      <c r="BC408" s="6"/>
      <c r="BD408" s="6"/>
      <c r="BE408" s="6"/>
      <c r="BF408" s="6"/>
      <c r="BG408" s="6"/>
      <c r="BH408" s="6"/>
      <c r="BI408" s="6"/>
      <c r="BJ408" s="6"/>
      <c r="BK408" s="6"/>
      <c r="BL408" s="6"/>
      <c r="BM408" s="6"/>
      <c r="BN408" s="6"/>
      <c r="BO408" s="6"/>
      <c r="BP408" s="6"/>
      <c r="BQ408" s="6"/>
      <c r="BR408" s="6"/>
      <c r="BS408" s="6"/>
      <c r="BT408" s="6"/>
      <c r="BU408" s="6"/>
      <c r="BV408" s="6"/>
      <c r="BW408" s="6"/>
      <c r="BX408" s="11"/>
    </row>
    <row r="409" spans="1:76" ht="15.7">
      <c r="A409" s="6"/>
      <c r="B409" s="7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  <c r="AZ409" s="6"/>
      <c r="BA409" s="6"/>
      <c r="BB409" s="6"/>
      <c r="BC409" s="6"/>
      <c r="BD409" s="6"/>
      <c r="BE409" s="6"/>
      <c r="BF409" s="6"/>
      <c r="BG409" s="6"/>
      <c r="BH409" s="6"/>
      <c r="BI409" s="6"/>
      <c r="BJ409" s="6"/>
      <c r="BK409" s="6"/>
      <c r="BL409" s="6"/>
      <c r="BM409" s="6"/>
      <c r="BN409" s="6"/>
      <c r="BO409" s="6"/>
      <c r="BP409" s="6"/>
      <c r="BQ409" s="6"/>
      <c r="BR409" s="6"/>
      <c r="BS409" s="6"/>
      <c r="BT409" s="6"/>
      <c r="BU409" s="6"/>
      <c r="BV409" s="6"/>
      <c r="BW409" s="6"/>
      <c r="BX409" s="11"/>
    </row>
    <row r="410" spans="1:76" ht="15.7">
      <c r="A410" s="6"/>
      <c r="B410" s="7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  <c r="AZ410" s="6"/>
      <c r="BA410" s="6"/>
      <c r="BB410" s="6"/>
      <c r="BC410" s="6"/>
      <c r="BD410" s="6"/>
      <c r="BE410" s="6"/>
      <c r="BF410" s="6"/>
      <c r="BG410" s="6"/>
      <c r="BH410" s="6"/>
      <c r="BI410" s="6"/>
      <c r="BJ410" s="6"/>
      <c r="BK410" s="6"/>
      <c r="BL410" s="6"/>
      <c r="BM410" s="6"/>
      <c r="BN410" s="6"/>
      <c r="BO410" s="6"/>
      <c r="BP410" s="6"/>
      <c r="BQ410" s="6"/>
      <c r="BR410" s="6"/>
      <c r="BS410" s="6"/>
      <c r="BT410" s="6"/>
      <c r="BU410" s="6"/>
      <c r="BV410" s="6"/>
      <c r="BW410" s="6"/>
      <c r="BX410" s="11"/>
    </row>
    <row r="411" spans="1:76" ht="15.7">
      <c r="A411" s="6"/>
      <c r="B411" s="7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  <c r="AZ411" s="6"/>
      <c r="BA411" s="6"/>
      <c r="BB411" s="6"/>
      <c r="BC411" s="6"/>
      <c r="BD411" s="6"/>
      <c r="BE411" s="6"/>
      <c r="BF411" s="6"/>
      <c r="BG411" s="6"/>
      <c r="BH411" s="6"/>
      <c r="BI411" s="6"/>
      <c r="BJ411" s="6"/>
      <c r="BK411" s="6"/>
      <c r="BL411" s="6"/>
      <c r="BM411" s="6"/>
      <c r="BN411" s="6"/>
      <c r="BO411" s="6"/>
      <c r="BP411" s="6"/>
      <c r="BQ411" s="6"/>
      <c r="BR411" s="6"/>
      <c r="BS411" s="6"/>
      <c r="BT411" s="6"/>
      <c r="BU411" s="6"/>
      <c r="BV411" s="6"/>
      <c r="BW411" s="6"/>
      <c r="BX411" s="11"/>
    </row>
    <row r="412" spans="1:76" ht="15.7">
      <c r="A412" s="6"/>
      <c r="B412" s="7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  <c r="AZ412" s="6"/>
      <c r="BA412" s="6"/>
      <c r="BB412" s="6"/>
      <c r="BC412" s="6"/>
      <c r="BD412" s="6"/>
      <c r="BE412" s="6"/>
      <c r="BF412" s="6"/>
      <c r="BG412" s="6"/>
      <c r="BH412" s="6"/>
      <c r="BI412" s="6"/>
      <c r="BJ412" s="6"/>
      <c r="BK412" s="6"/>
      <c r="BL412" s="6"/>
      <c r="BM412" s="6"/>
      <c r="BN412" s="6"/>
      <c r="BO412" s="6"/>
      <c r="BP412" s="6"/>
      <c r="BQ412" s="6"/>
      <c r="BR412" s="6"/>
      <c r="BS412" s="6"/>
      <c r="BT412" s="6"/>
      <c r="BU412" s="6"/>
      <c r="BV412" s="6"/>
      <c r="BW412" s="6"/>
      <c r="BX412" s="11"/>
    </row>
    <row r="413" spans="1:76" ht="15.7">
      <c r="A413" s="6"/>
      <c r="B413" s="7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  <c r="AZ413" s="6"/>
      <c r="BA413" s="6"/>
      <c r="BB413" s="6"/>
      <c r="BC413" s="6"/>
      <c r="BD413" s="6"/>
      <c r="BE413" s="6"/>
      <c r="BF413" s="6"/>
      <c r="BG413" s="6"/>
      <c r="BH413" s="6"/>
      <c r="BI413" s="6"/>
      <c r="BJ413" s="6"/>
      <c r="BK413" s="6"/>
      <c r="BL413" s="6"/>
      <c r="BM413" s="6"/>
      <c r="BN413" s="6"/>
      <c r="BO413" s="6"/>
      <c r="BP413" s="6"/>
      <c r="BQ413" s="6"/>
      <c r="BR413" s="6"/>
      <c r="BS413" s="6"/>
      <c r="BT413" s="6"/>
      <c r="BU413" s="6"/>
      <c r="BV413" s="6"/>
      <c r="BW413" s="6"/>
      <c r="BX413" s="11"/>
    </row>
    <row r="414" spans="1:76" ht="15.7">
      <c r="A414" s="6"/>
      <c r="B414" s="7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  <c r="AZ414" s="6"/>
      <c r="BA414" s="6"/>
      <c r="BB414" s="6"/>
      <c r="BC414" s="6"/>
      <c r="BD414" s="6"/>
      <c r="BE414" s="6"/>
      <c r="BF414" s="6"/>
      <c r="BG414" s="6"/>
      <c r="BH414" s="6"/>
      <c r="BI414" s="6"/>
      <c r="BJ414" s="6"/>
      <c r="BK414" s="6"/>
      <c r="BL414" s="6"/>
      <c r="BM414" s="6"/>
      <c r="BN414" s="6"/>
      <c r="BO414" s="6"/>
      <c r="BP414" s="6"/>
      <c r="BQ414" s="6"/>
      <c r="BR414" s="6"/>
      <c r="BS414" s="6"/>
      <c r="BT414" s="6"/>
      <c r="BU414" s="6"/>
      <c r="BV414" s="6"/>
      <c r="BW414" s="6"/>
      <c r="BX414" s="11"/>
    </row>
    <row r="415" spans="1:76" ht="15.7">
      <c r="A415" s="6"/>
      <c r="B415" s="7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  <c r="AZ415" s="6"/>
      <c r="BA415" s="6"/>
      <c r="BB415" s="6"/>
      <c r="BC415" s="6"/>
      <c r="BD415" s="6"/>
      <c r="BE415" s="6"/>
      <c r="BF415" s="6"/>
      <c r="BG415" s="6"/>
      <c r="BH415" s="6"/>
      <c r="BI415" s="6"/>
      <c r="BJ415" s="6"/>
      <c r="BK415" s="6"/>
      <c r="BL415" s="6"/>
      <c r="BM415" s="6"/>
      <c r="BN415" s="6"/>
      <c r="BO415" s="6"/>
      <c r="BP415" s="6"/>
      <c r="BQ415" s="6"/>
      <c r="BR415" s="6"/>
      <c r="BS415" s="6"/>
      <c r="BT415" s="6"/>
      <c r="BU415" s="6"/>
      <c r="BV415" s="6"/>
      <c r="BW415" s="6"/>
      <c r="BX415" s="11"/>
    </row>
    <row r="416" spans="1:76" ht="15.7">
      <c r="A416" s="6"/>
      <c r="B416" s="7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  <c r="AZ416" s="6"/>
      <c r="BA416" s="6"/>
      <c r="BB416" s="6"/>
      <c r="BC416" s="6"/>
      <c r="BD416" s="6"/>
      <c r="BE416" s="6"/>
      <c r="BF416" s="6"/>
      <c r="BG416" s="6"/>
      <c r="BH416" s="6"/>
      <c r="BI416" s="6"/>
      <c r="BJ416" s="6"/>
      <c r="BK416" s="6"/>
      <c r="BL416" s="6"/>
      <c r="BM416" s="6"/>
      <c r="BN416" s="6"/>
      <c r="BO416" s="6"/>
      <c r="BP416" s="6"/>
      <c r="BQ416" s="6"/>
      <c r="BR416" s="6"/>
      <c r="BS416" s="6"/>
      <c r="BT416" s="6"/>
      <c r="BU416" s="6"/>
      <c r="BV416" s="6"/>
      <c r="BW416" s="6"/>
      <c r="BX416" s="11"/>
    </row>
    <row r="417" spans="1:76" ht="15.7">
      <c r="A417" s="6"/>
      <c r="B417" s="7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  <c r="AZ417" s="6"/>
      <c r="BA417" s="6"/>
      <c r="BB417" s="6"/>
      <c r="BC417" s="6"/>
      <c r="BD417" s="6"/>
      <c r="BE417" s="6"/>
      <c r="BF417" s="6"/>
      <c r="BG417" s="6"/>
      <c r="BH417" s="6"/>
      <c r="BI417" s="6"/>
      <c r="BJ417" s="6"/>
      <c r="BK417" s="6"/>
      <c r="BL417" s="6"/>
      <c r="BM417" s="6"/>
      <c r="BN417" s="6"/>
      <c r="BO417" s="6"/>
      <c r="BP417" s="6"/>
      <c r="BQ417" s="6"/>
      <c r="BR417" s="6"/>
      <c r="BS417" s="6"/>
      <c r="BT417" s="6"/>
      <c r="BU417" s="6"/>
      <c r="BV417" s="6"/>
      <c r="BW417" s="6"/>
      <c r="BX417" s="11"/>
    </row>
    <row r="418" spans="1:76" ht="15.7">
      <c r="A418" s="6"/>
      <c r="B418" s="7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  <c r="AZ418" s="6"/>
      <c r="BA418" s="6"/>
      <c r="BB418" s="6"/>
      <c r="BC418" s="6"/>
      <c r="BD418" s="6"/>
      <c r="BE418" s="6"/>
      <c r="BF418" s="6"/>
      <c r="BG418" s="6"/>
      <c r="BH418" s="6"/>
      <c r="BI418" s="6"/>
      <c r="BJ418" s="6"/>
      <c r="BK418" s="6"/>
      <c r="BL418" s="6"/>
      <c r="BM418" s="6"/>
      <c r="BN418" s="6"/>
      <c r="BO418" s="6"/>
      <c r="BP418" s="6"/>
      <c r="BQ418" s="6"/>
      <c r="BR418" s="6"/>
      <c r="BS418" s="6"/>
      <c r="BT418" s="6"/>
      <c r="BU418" s="6"/>
      <c r="BV418" s="6"/>
      <c r="BW418" s="6"/>
      <c r="BX418" s="11"/>
    </row>
    <row r="419" spans="1:76" ht="15.7">
      <c r="A419" s="6"/>
      <c r="B419" s="7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  <c r="AZ419" s="6"/>
      <c r="BA419" s="6"/>
      <c r="BB419" s="6"/>
      <c r="BC419" s="6"/>
      <c r="BD419" s="6"/>
      <c r="BE419" s="6"/>
      <c r="BF419" s="6"/>
      <c r="BG419" s="6"/>
      <c r="BH419" s="6"/>
      <c r="BI419" s="6"/>
      <c r="BJ419" s="6"/>
      <c r="BK419" s="6"/>
      <c r="BL419" s="6"/>
      <c r="BM419" s="6"/>
      <c r="BN419" s="6"/>
      <c r="BO419" s="6"/>
      <c r="BP419" s="6"/>
      <c r="BQ419" s="6"/>
      <c r="BR419" s="6"/>
      <c r="BS419" s="6"/>
      <c r="BT419" s="6"/>
      <c r="BU419" s="6"/>
      <c r="BV419" s="6"/>
      <c r="BW419" s="6"/>
      <c r="BX419" s="11"/>
    </row>
    <row r="420" spans="1:76" ht="15.7">
      <c r="A420" s="6"/>
      <c r="B420" s="7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  <c r="AZ420" s="6"/>
      <c r="BA420" s="6"/>
      <c r="BB420" s="6"/>
      <c r="BC420" s="6"/>
      <c r="BD420" s="6"/>
      <c r="BE420" s="6"/>
      <c r="BF420" s="6"/>
      <c r="BG420" s="6"/>
      <c r="BH420" s="6"/>
      <c r="BI420" s="6"/>
      <c r="BJ420" s="6"/>
      <c r="BK420" s="6"/>
      <c r="BL420" s="6"/>
      <c r="BM420" s="6"/>
      <c r="BN420" s="6"/>
      <c r="BO420" s="6"/>
      <c r="BP420" s="6"/>
      <c r="BQ420" s="6"/>
      <c r="BR420" s="6"/>
      <c r="BS420" s="6"/>
      <c r="BT420" s="6"/>
      <c r="BU420" s="6"/>
      <c r="BV420" s="6"/>
      <c r="BW420" s="6"/>
      <c r="BX420" s="11"/>
    </row>
    <row r="421" spans="1:76" ht="15.7">
      <c r="A421" s="6"/>
      <c r="B421" s="7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  <c r="AZ421" s="6"/>
      <c r="BA421" s="6"/>
      <c r="BB421" s="6"/>
      <c r="BC421" s="6"/>
      <c r="BD421" s="6"/>
      <c r="BE421" s="6"/>
      <c r="BF421" s="6"/>
      <c r="BG421" s="6"/>
      <c r="BH421" s="6"/>
      <c r="BI421" s="6"/>
      <c r="BJ421" s="6"/>
      <c r="BK421" s="6"/>
      <c r="BL421" s="6"/>
      <c r="BM421" s="6"/>
      <c r="BN421" s="6"/>
      <c r="BO421" s="6"/>
      <c r="BP421" s="6"/>
      <c r="BQ421" s="6"/>
      <c r="BR421" s="6"/>
      <c r="BS421" s="6"/>
      <c r="BT421" s="6"/>
      <c r="BU421" s="6"/>
      <c r="BV421" s="6"/>
      <c r="BW421" s="6"/>
      <c r="BX421" s="11"/>
    </row>
    <row r="422" spans="1:76" ht="15.7">
      <c r="A422" s="6"/>
      <c r="B422" s="7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  <c r="AZ422" s="6"/>
      <c r="BA422" s="6"/>
      <c r="BB422" s="6"/>
      <c r="BC422" s="6"/>
      <c r="BD422" s="6"/>
      <c r="BE422" s="6"/>
      <c r="BF422" s="6"/>
      <c r="BG422" s="6"/>
      <c r="BH422" s="6"/>
      <c r="BI422" s="6"/>
      <c r="BJ422" s="6"/>
      <c r="BK422" s="6"/>
      <c r="BL422" s="6"/>
      <c r="BM422" s="6"/>
      <c r="BN422" s="6"/>
      <c r="BO422" s="6"/>
      <c r="BP422" s="6"/>
      <c r="BQ422" s="6"/>
      <c r="BR422" s="6"/>
      <c r="BS422" s="6"/>
      <c r="BT422" s="6"/>
      <c r="BU422" s="6"/>
      <c r="BV422" s="6"/>
      <c r="BW422" s="6"/>
      <c r="BX422" s="11"/>
    </row>
    <row r="423" spans="1:76" ht="15.7">
      <c r="A423" s="6"/>
      <c r="B423" s="7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  <c r="AZ423" s="6"/>
      <c r="BA423" s="6"/>
      <c r="BB423" s="6"/>
      <c r="BC423" s="6"/>
      <c r="BD423" s="6"/>
      <c r="BE423" s="6"/>
      <c r="BF423" s="6"/>
      <c r="BG423" s="6"/>
      <c r="BH423" s="6"/>
      <c r="BI423" s="6"/>
      <c r="BJ423" s="6"/>
      <c r="BK423" s="6"/>
      <c r="BL423" s="6"/>
      <c r="BM423" s="6"/>
      <c r="BN423" s="6"/>
      <c r="BO423" s="6"/>
      <c r="BP423" s="6"/>
      <c r="BQ423" s="6"/>
      <c r="BR423" s="6"/>
      <c r="BS423" s="6"/>
      <c r="BT423" s="6"/>
      <c r="BU423" s="6"/>
      <c r="BV423" s="6"/>
      <c r="BW423" s="6"/>
      <c r="BX423" s="11"/>
    </row>
    <row r="424" spans="1:76" ht="15.7">
      <c r="A424" s="6"/>
      <c r="B424" s="7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  <c r="AZ424" s="6"/>
      <c r="BA424" s="6"/>
      <c r="BB424" s="6"/>
      <c r="BC424" s="6"/>
      <c r="BD424" s="6"/>
      <c r="BE424" s="6"/>
      <c r="BF424" s="6"/>
      <c r="BG424" s="6"/>
      <c r="BH424" s="6"/>
      <c r="BI424" s="6"/>
      <c r="BJ424" s="6"/>
      <c r="BK424" s="6"/>
      <c r="BL424" s="6"/>
      <c r="BM424" s="6"/>
      <c r="BN424" s="6"/>
      <c r="BO424" s="6"/>
      <c r="BP424" s="6"/>
      <c r="BQ424" s="6"/>
      <c r="BR424" s="6"/>
      <c r="BS424" s="6"/>
      <c r="BT424" s="6"/>
      <c r="BU424" s="6"/>
      <c r="BV424" s="6"/>
      <c r="BW424" s="6"/>
      <c r="BX424" s="11"/>
    </row>
    <row r="425" spans="1:76" ht="15.7">
      <c r="A425" s="6"/>
      <c r="B425" s="7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  <c r="AZ425" s="6"/>
      <c r="BA425" s="6"/>
      <c r="BB425" s="6"/>
      <c r="BC425" s="6"/>
      <c r="BD425" s="6"/>
      <c r="BE425" s="6"/>
      <c r="BF425" s="6"/>
      <c r="BG425" s="6"/>
      <c r="BH425" s="6"/>
      <c r="BI425" s="6"/>
      <c r="BJ425" s="6"/>
      <c r="BK425" s="6"/>
      <c r="BL425" s="6"/>
      <c r="BM425" s="6"/>
      <c r="BN425" s="6"/>
      <c r="BO425" s="6"/>
      <c r="BP425" s="6"/>
      <c r="BQ425" s="6"/>
      <c r="BR425" s="6"/>
      <c r="BS425" s="6"/>
      <c r="BT425" s="6"/>
      <c r="BU425" s="6"/>
      <c r="BV425" s="6"/>
      <c r="BW425" s="6"/>
      <c r="BX425" s="11"/>
    </row>
    <row r="426" spans="1:76" ht="15.7">
      <c r="A426" s="6"/>
      <c r="B426" s="7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  <c r="AZ426" s="6"/>
      <c r="BA426" s="6"/>
      <c r="BB426" s="6"/>
      <c r="BC426" s="6"/>
      <c r="BD426" s="6"/>
      <c r="BE426" s="6"/>
      <c r="BF426" s="6"/>
      <c r="BG426" s="6"/>
      <c r="BH426" s="6"/>
      <c r="BI426" s="6"/>
      <c r="BJ426" s="6"/>
      <c r="BK426" s="6"/>
      <c r="BL426" s="6"/>
      <c r="BM426" s="6"/>
      <c r="BN426" s="6"/>
      <c r="BO426" s="6"/>
      <c r="BP426" s="6"/>
      <c r="BQ426" s="6"/>
      <c r="BR426" s="6"/>
      <c r="BS426" s="6"/>
      <c r="BT426" s="6"/>
      <c r="BU426" s="6"/>
      <c r="BV426" s="6"/>
      <c r="BW426" s="6"/>
      <c r="BX426" s="11"/>
    </row>
    <row r="427" spans="1:76" ht="15.7">
      <c r="A427" s="6"/>
      <c r="B427" s="7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  <c r="AZ427" s="6"/>
      <c r="BA427" s="6"/>
      <c r="BB427" s="6"/>
      <c r="BC427" s="6"/>
      <c r="BD427" s="6"/>
      <c r="BE427" s="6"/>
      <c r="BF427" s="6"/>
      <c r="BG427" s="6"/>
      <c r="BH427" s="6"/>
      <c r="BI427" s="6"/>
      <c r="BJ427" s="6"/>
      <c r="BK427" s="6"/>
      <c r="BL427" s="6"/>
      <c r="BM427" s="6"/>
      <c r="BN427" s="6"/>
      <c r="BO427" s="6"/>
      <c r="BP427" s="6"/>
      <c r="BQ427" s="6"/>
      <c r="BR427" s="6"/>
      <c r="BS427" s="6"/>
      <c r="BT427" s="6"/>
      <c r="BU427" s="6"/>
      <c r="BV427" s="6"/>
      <c r="BW427" s="6"/>
      <c r="BX427" s="11"/>
    </row>
    <row r="428" spans="1:76" ht="15.7">
      <c r="A428" s="6"/>
      <c r="B428" s="7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  <c r="AZ428" s="6"/>
      <c r="BA428" s="6"/>
      <c r="BB428" s="6"/>
      <c r="BC428" s="6"/>
      <c r="BD428" s="6"/>
      <c r="BE428" s="6"/>
      <c r="BF428" s="6"/>
      <c r="BG428" s="6"/>
      <c r="BH428" s="6"/>
      <c r="BI428" s="6"/>
      <c r="BJ428" s="6"/>
      <c r="BK428" s="6"/>
      <c r="BL428" s="6"/>
      <c r="BM428" s="6"/>
      <c r="BN428" s="6"/>
      <c r="BO428" s="6"/>
      <c r="BP428" s="6"/>
      <c r="BQ428" s="6"/>
      <c r="BR428" s="6"/>
      <c r="BS428" s="6"/>
      <c r="BT428" s="6"/>
      <c r="BU428" s="6"/>
      <c r="BV428" s="6"/>
      <c r="BW428" s="6"/>
      <c r="BX428" s="11"/>
    </row>
    <row r="429" spans="1:76" ht="15.7">
      <c r="A429" s="6"/>
      <c r="B429" s="7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  <c r="AZ429" s="6"/>
      <c r="BA429" s="6"/>
      <c r="BB429" s="6"/>
      <c r="BC429" s="6"/>
      <c r="BD429" s="6"/>
      <c r="BE429" s="6"/>
      <c r="BF429" s="6"/>
      <c r="BG429" s="6"/>
      <c r="BH429" s="6"/>
      <c r="BI429" s="6"/>
      <c r="BJ429" s="6"/>
      <c r="BK429" s="6"/>
      <c r="BL429" s="6"/>
      <c r="BM429" s="6"/>
      <c r="BN429" s="6"/>
      <c r="BO429" s="6"/>
      <c r="BP429" s="6"/>
      <c r="BQ429" s="6"/>
      <c r="BR429" s="6"/>
      <c r="BS429" s="6"/>
      <c r="BT429" s="6"/>
      <c r="BU429" s="6"/>
      <c r="BV429" s="6"/>
      <c r="BW429" s="6"/>
      <c r="BX429" s="11"/>
    </row>
    <row r="430" spans="1:76" ht="15.7">
      <c r="A430" s="6"/>
      <c r="B430" s="7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  <c r="AZ430" s="6"/>
      <c r="BA430" s="6"/>
      <c r="BB430" s="6"/>
      <c r="BC430" s="6"/>
      <c r="BD430" s="6"/>
      <c r="BE430" s="6"/>
      <c r="BF430" s="6"/>
      <c r="BG430" s="6"/>
      <c r="BH430" s="6"/>
      <c r="BI430" s="6"/>
      <c r="BJ430" s="6"/>
      <c r="BK430" s="6"/>
      <c r="BL430" s="6"/>
      <c r="BM430" s="6"/>
      <c r="BN430" s="6"/>
      <c r="BO430" s="6"/>
      <c r="BP430" s="6"/>
      <c r="BQ430" s="6"/>
      <c r="BR430" s="6"/>
      <c r="BS430" s="6"/>
      <c r="BT430" s="6"/>
      <c r="BU430" s="6"/>
      <c r="BV430" s="6"/>
      <c r="BW430" s="6"/>
      <c r="BX430" s="11"/>
    </row>
    <row r="431" spans="1:76" ht="15.7">
      <c r="A431" s="6"/>
      <c r="B431" s="7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  <c r="AZ431" s="6"/>
      <c r="BA431" s="6"/>
      <c r="BB431" s="6"/>
      <c r="BC431" s="6"/>
      <c r="BD431" s="6"/>
      <c r="BE431" s="6"/>
      <c r="BF431" s="6"/>
      <c r="BG431" s="6"/>
      <c r="BH431" s="6"/>
      <c r="BI431" s="6"/>
      <c r="BJ431" s="6"/>
      <c r="BK431" s="6"/>
      <c r="BL431" s="6"/>
      <c r="BM431" s="6"/>
      <c r="BN431" s="6"/>
      <c r="BO431" s="6"/>
      <c r="BP431" s="6"/>
      <c r="BQ431" s="6"/>
      <c r="BR431" s="6"/>
      <c r="BS431" s="6"/>
      <c r="BT431" s="6"/>
      <c r="BU431" s="6"/>
      <c r="BV431" s="6"/>
      <c r="BW431" s="6"/>
      <c r="BX431" s="11"/>
    </row>
    <row r="432" spans="1:76" ht="15.7">
      <c r="A432" s="6"/>
      <c r="B432" s="7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  <c r="AZ432" s="6"/>
      <c r="BA432" s="6"/>
      <c r="BB432" s="6"/>
      <c r="BC432" s="6"/>
      <c r="BD432" s="6"/>
      <c r="BE432" s="6"/>
      <c r="BF432" s="6"/>
      <c r="BG432" s="6"/>
      <c r="BH432" s="6"/>
      <c r="BI432" s="6"/>
      <c r="BJ432" s="6"/>
      <c r="BK432" s="6"/>
      <c r="BL432" s="6"/>
      <c r="BM432" s="6"/>
      <c r="BN432" s="6"/>
      <c r="BO432" s="6"/>
      <c r="BP432" s="6"/>
      <c r="BQ432" s="6"/>
      <c r="BR432" s="6"/>
      <c r="BS432" s="6"/>
      <c r="BT432" s="6"/>
      <c r="BU432" s="6"/>
      <c r="BV432" s="6"/>
      <c r="BW432" s="6"/>
      <c r="BX432" s="11"/>
    </row>
    <row r="433" spans="1:76" ht="15.7">
      <c r="A433" s="6"/>
      <c r="B433" s="7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  <c r="AZ433" s="6"/>
      <c r="BA433" s="6"/>
      <c r="BB433" s="6"/>
      <c r="BC433" s="6"/>
      <c r="BD433" s="6"/>
      <c r="BE433" s="6"/>
      <c r="BF433" s="6"/>
      <c r="BG433" s="6"/>
      <c r="BH433" s="6"/>
      <c r="BI433" s="6"/>
      <c r="BJ433" s="6"/>
      <c r="BK433" s="6"/>
      <c r="BL433" s="6"/>
      <c r="BM433" s="6"/>
      <c r="BN433" s="6"/>
      <c r="BO433" s="6"/>
      <c r="BP433" s="6"/>
      <c r="BQ433" s="6"/>
      <c r="BR433" s="6"/>
      <c r="BS433" s="6"/>
      <c r="BT433" s="6"/>
      <c r="BU433" s="6"/>
      <c r="BV433" s="6"/>
      <c r="BW433" s="6"/>
      <c r="BX433" s="11"/>
    </row>
    <row r="434" spans="1:76" ht="15.7">
      <c r="A434" s="6"/>
      <c r="B434" s="7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  <c r="AZ434" s="6"/>
      <c r="BA434" s="6"/>
      <c r="BB434" s="6"/>
      <c r="BC434" s="6"/>
      <c r="BD434" s="6"/>
      <c r="BE434" s="6"/>
      <c r="BF434" s="6"/>
      <c r="BG434" s="6"/>
      <c r="BH434" s="6"/>
      <c r="BI434" s="6"/>
      <c r="BJ434" s="6"/>
      <c r="BK434" s="6"/>
      <c r="BL434" s="6"/>
      <c r="BM434" s="6"/>
      <c r="BN434" s="6"/>
      <c r="BO434" s="6"/>
      <c r="BP434" s="6"/>
      <c r="BQ434" s="6"/>
      <c r="BR434" s="6"/>
      <c r="BS434" s="6"/>
      <c r="BT434" s="6"/>
      <c r="BU434" s="6"/>
      <c r="BV434" s="6"/>
      <c r="BW434" s="6"/>
      <c r="BX434" s="11"/>
    </row>
    <row r="435" spans="1:76" ht="15.7">
      <c r="A435" s="6"/>
      <c r="B435" s="7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  <c r="AZ435" s="6"/>
      <c r="BA435" s="6"/>
      <c r="BB435" s="6"/>
      <c r="BC435" s="6"/>
      <c r="BD435" s="6"/>
      <c r="BE435" s="6"/>
      <c r="BF435" s="6"/>
      <c r="BG435" s="6"/>
      <c r="BH435" s="6"/>
      <c r="BI435" s="6"/>
      <c r="BJ435" s="6"/>
      <c r="BK435" s="6"/>
      <c r="BL435" s="6"/>
      <c r="BM435" s="6"/>
      <c r="BN435" s="6"/>
      <c r="BO435" s="6"/>
      <c r="BP435" s="6"/>
      <c r="BQ435" s="6"/>
      <c r="BR435" s="6"/>
      <c r="BS435" s="6"/>
      <c r="BT435" s="6"/>
      <c r="BU435" s="6"/>
      <c r="BV435" s="6"/>
      <c r="BW435" s="6"/>
      <c r="BX435" s="11"/>
    </row>
    <row r="436" spans="1:76" ht="15.7">
      <c r="A436" s="6"/>
      <c r="B436" s="7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  <c r="AZ436" s="6"/>
      <c r="BA436" s="6"/>
      <c r="BB436" s="6"/>
      <c r="BC436" s="6"/>
      <c r="BD436" s="6"/>
      <c r="BE436" s="6"/>
      <c r="BF436" s="6"/>
      <c r="BG436" s="6"/>
      <c r="BH436" s="6"/>
      <c r="BI436" s="6"/>
      <c r="BJ436" s="6"/>
      <c r="BK436" s="6"/>
      <c r="BL436" s="6"/>
      <c r="BM436" s="6"/>
      <c r="BN436" s="6"/>
      <c r="BO436" s="6"/>
      <c r="BP436" s="6"/>
      <c r="BQ436" s="6"/>
      <c r="BR436" s="6"/>
      <c r="BS436" s="6"/>
      <c r="BT436" s="6"/>
      <c r="BU436" s="6"/>
      <c r="BV436" s="6"/>
      <c r="BW436" s="6"/>
      <c r="BX436" s="11"/>
    </row>
    <row r="437" spans="1:76" ht="15.7">
      <c r="A437" s="6"/>
      <c r="B437" s="7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  <c r="AZ437" s="6"/>
      <c r="BA437" s="6"/>
      <c r="BB437" s="6"/>
      <c r="BC437" s="6"/>
      <c r="BD437" s="6"/>
      <c r="BE437" s="6"/>
      <c r="BF437" s="6"/>
      <c r="BG437" s="6"/>
      <c r="BH437" s="6"/>
      <c r="BI437" s="6"/>
      <c r="BJ437" s="6"/>
      <c r="BK437" s="6"/>
      <c r="BL437" s="6"/>
      <c r="BM437" s="6"/>
      <c r="BN437" s="6"/>
      <c r="BO437" s="6"/>
      <c r="BP437" s="6"/>
      <c r="BQ437" s="6"/>
      <c r="BR437" s="6"/>
      <c r="BS437" s="6"/>
      <c r="BT437" s="6"/>
      <c r="BU437" s="6"/>
      <c r="BV437" s="6"/>
      <c r="BW437" s="6"/>
      <c r="BX437" s="11"/>
    </row>
    <row r="438" spans="1:76" ht="15.7">
      <c r="A438" s="6"/>
      <c r="B438" s="7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  <c r="AZ438" s="6"/>
      <c r="BA438" s="6"/>
      <c r="BB438" s="6"/>
      <c r="BC438" s="6"/>
      <c r="BD438" s="6"/>
      <c r="BE438" s="6"/>
      <c r="BF438" s="6"/>
      <c r="BG438" s="6"/>
      <c r="BH438" s="6"/>
      <c r="BI438" s="6"/>
      <c r="BJ438" s="6"/>
      <c r="BK438" s="6"/>
      <c r="BL438" s="6"/>
      <c r="BM438" s="6"/>
      <c r="BN438" s="6"/>
      <c r="BO438" s="6"/>
      <c r="BP438" s="6"/>
      <c r="BQ438" s="6"/>
      <c r="BR438" s="6"/>
      <c r="BS438" s="6"/>
      <c r="BT438" s="6"/>
      <c r="BU438" s="6"/>
      <c r="BV438" s="6"/>
      <c r="BW438" s="6"/>
      <c r="BX438" s="11"/>
    </row>
    <row r="439" spans="1:76" ht="15.7">
      <c r="A439" s="6"/>
      <c r="B439" s="7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  <c r="AZ439" s="6"/>
      <c r="BA439" s="6"/>
      <c r="BB439" s="6"/>
      <c r="BC439" s="6"/>
      <c r="BD439" s="6"/>
      <c r="BE439" s="6"/>
      <c r="BF439" s="6"/>
      <c r="BG439" s="6"/>
      <c r="BH439" s="6"/>
      <c r="BI439" s="6"/>
      <c r="BJ439" s="6"/>
      <c r="BK439" s="6"/>
      <c r="BL439" s="6"/>
      <c r="BM439" s="6"/>
      <c r="BN439" s="6"/>
      <c r="BO439" s="6"/>
      <c r="BP439" s="6"/>
      <c r="BQ439" s="6"/>
      <c r="BR439" s="6"/>
      <c r="BS439" s="6"/>
      <c r="BT439" s="6"/>
      <c r="BU439" s="6"/>
      <c r="BV439" s="6"/>
      <c r="BW439" s="6"/>
      <c r="BX439" s="11"/>
    </row>
    <row r="440" spans="1:76" ht="15.7">
      <c r="A440" s="6"/>
      <c r="B440" s="7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  <c r="AZ440" s="6"/>
      <c r="BA440" s="6"/>
      <c r="BB440" s="6"/>
      <c r="BC440" s="6"/>
      <c r="BD440" s="6"/>
      <c r="BE440" s="6"/>
      <c r="BF440" s="6"/>
      <c r="BG440" s="6"/>
      <c r="BH440" s="6"/>
      <c r="BI440" s="6"/>
      <c r="BJ440" s="6"/>
      <c r="BK440" s="6"/>
      <c r="BL440" s="6"/>
      <c r="BM440" s="6"/>
      <c r="BN440" s="6"/>
      <c r="BO440" s="6"/>
      <c r="BP440" s="6"/>
      <c r="BQ440" s="6"/>
      <c r="BR440" s="6"/>
      <c r="BS440" s="6"/>
      <c r="BT440" s="6"/>
      <c r="BU440" s="6"/>
      <c r="BV440" s="6"/>
      <c r="BW440" s="6"/>
      <c r="BX440" s="11"/>
    </row>
    <row r="441" spans="1:76" ht="15.7">
      <c r="A441" s="6"/>
      <c r="B441" s="7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  <c r="AZ441" s="6"/>
      <c r="BA441" s="6"/>
      <c r="BB441" s="6"/>
      <c r="BC441" s="6"/>
      <c r="BD441" s="6"/>
      <c r="BE441" s="6"/>
      <c r="BF441" s="6"/>
      <c r="BG441" s="6"/>
      <c r="BH441" s="6"/>
      <c r="BI441" s="6"/>
      <c r="BJ441" s="6"/>
      <c r="BK441" s="6"/>
      <c r="BL441" s="6"/>
      <c r="BM441" s="6"/>
      <c r="BN441" s="6"/>
      <c r="BO441" s="6"/>
      <c r="BP441" s="6"/>
      <c r="BQ441" s="6"/>
      <c r="BR441" s="6"/>
      <c r="BS441" s="6"/>
      <c r="BT441" s="6"/>
      <c r="BU441" s="6"/>
      <c r="BV441" s="6"/>
      <c r="BW441" s="6"/>
      <c r="BX441" s="11"/>
    </row>
    <row r="442" spans="1:76" ht="15.7">
      <c r="A442" s="6"/>
      <c r="B442" s="7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  <c r="AZ442" s="6"/>
      <c r="BA442" s="6"/>
      <c r="BB442" s="6"/>
      <c r="BC442" s="6"/>
      <c r="BD442" s="6"/>
      <c r="BE442" s="6"/>
      <c r="BF442" s="6"/>
      <c r="BG442" s="6"/>
      <c r="BH442" s="6"/>
      <c r="BI442" s="6"/>
      <c r="BJ442" s="6"/>
      <c r="BK442" s="6"/>
      <c r="BL442" s="6"/>
      <c r="BM442" s="6"/>
      <c r="BN442" s="6"/>
      <c r="BO442" s="6"/>
      <c r="BP442" s="6"/>
      <c r="BQ442" s="6"/>
      <c r="BR442" s="6"/>
      <c r="BS442" s="6"/>
      <c r="BT442" s="6"/>
      <c r="BU442" s="6"/>
      <c r="BV442" s="6"/>
      <c r="BW442" s="6"/>
      <c r="BX442" s="11"/>
    </row>
    <row r="443" spans="1:76" ht="15.7">
      <c r="A443" s="6"/>
      <c r="B443" s="7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  <c r="AZ443" s="6"/>
      <c r="BA443" s="6"/>
      <c r="BB443" s="6"/>
      <c r="BC443" s="6"/>
      <c r="BD443" s="6"/>
      <c r="BE443" s="6"/>
      <c r="BF443" s="6"/>
      <c r="BG443" s="6"/>
      <c r="BH443" s="6"/>
      <c r="BI443" s="6"/>
      <c r="BJ443" s="6"/>
      <c r="BK443" s="6"/>
      <c r="BL443" s="6"/>
      <c r="BM443" s="6"/>
      <c r="BN443" s="6"/>
      <c r="BO443" s="6"/>
      <c r="BP443" s="6"/>
      <c r="BQ443" s="6"/>
      <c r="BR443" s="6"/>
      <c r="BS443" s="6"/>
      <c r="BT443" s="6"/>
      <c r="BU443" s="6"/>
      <c r="BV443" s="6"/>
      <c r="BW443" s="6"/>
      <c r="BX443" s="11"/>
    </row>
    <row r="444" spans="1:76" ht="15.7">
      <c r="A444" s="6"/>
      <c r="B444" s="7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  <c r="AZ444" s="6"/>
      <c r="BA444" s="6"/>
      <c r="BB444" s="6"/>
      <c r="BC444" s="6"/>
      <c r="BD444" s="6"/>
      <c r="BE444" s="6"/>
      <c r="BF444" s="6"/>
      <c r="BG444" s="6"/>
      <c r="BH444" s="6"/>
      <c r="BI444" s="6"/>
      <c r="BJ444" s="6"/>
      <c r="BK444" s="6"/>
      <c r="BL444" s="6"/>
      <c r="BM444" s="6"/>
      <c r="BN444" s="6"/>
      <c r="BO444" s="6"/>
      <c r="BP444" s="6"/>
      <c r="BQ444" s="6"/>
      <c r="BR444" s="6"/>
      <c r="BS444" s="6"/>
      <c r="BT444" s="6"/>
      <c r="BU444" s="6"/>
      <c r="BV444" s="6"/>
      <c r="BW444" s="6"/>
      <c r="BX444" s="11"/>
    </row>
    <row r="445" spans="1:76" ht="15.7">
      <c r="A445" s="6"/>
      <c r="B445" s="7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  <c r="AZ445" s="6"/>
      <c r="BA445" s="6"/>
      <c r="BB445" s="6"/>
      <c r="BC445" s="6"/>
      <c r="BD445" s="6"/>
      <c r="BE445" s="6"/>
      <c r="BF445" s="6"/>
      <c r="BG445" s="6"/>
      <c r="BH445" s="6"/>
      <c r="BI445" s="6"/>
      <c r="BJ445" s="6"/>
      <c r="BK445" s="6"/>
      <c r="BL445" s="6"/>
      <c r="BM445" s="6"/>
      <c r="BN445" s="6"/>
      <c r="BO445" s="6"/>
      <c r="BP445" s="6"/>
      <c r="BQ445" s="6"/>
      <c r="BR445" s="6"/>
      <c r="BS445" s="6"/>
      <c r="BT445" s="6"/>
      <c r="BU445" s="6"/>
      <c r="BV445" s="6"/>
      <c r="BW445" s="6"/>
      <c r="BX445" s="11"/>
    </row>
    <row r="446" spans="1:76" ht="15.7">
      <c r="A446" s="6"/>
      <c r="B446" s="7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  <c r="AZ446" s="6"/>
      <c r="BA446" s="6"/>
      <c r="BB446" s="6"/>
      <c r="BC446" s="6"/>
      <c r="BD446" s="6"/>
      <c r="BE446" s="6"/>
      <c r="BF446" s="6"/>
      <c r="BG446" s="6"/>
      <c r="BH446" s="6"/>
      <c r="BI446" s="6"/>
      <c r="BJ446" s="6"/>
      <c r="BK446" s="6"/>
      <c r="BL446" s="6"/>
      <c r="BM446" s="6"/>
      <c r="BN446" s="6"/>
      <c r="BO446" s="6"/>
      <c r="BP446" s="6"/>
      <c r="BQ446" s="6"/>
      <c r="BR446" s="6"/>
      <c r="BS446" s="6"/>
      <c r="BT446" s="6"/>
      <c r="BU446" s="6"/>
      <c r="BV446" s="6"/>
      <c r="BW446" s="6"/>
      <c r="BX446" s="11"/>
    </row>
    <row r="447" spans="1:76" ht="15.7">
      <c r="A447" s="6"/>
      <c r="B447" s="7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  <c r="AZ447" s="6"/>
      <c r="BA447" s="6"/>
      <c r="BB447" s="6"/>
      <c r="BC447" s="6"/>
      <c r="BD447" s="6"/>
      <c r="BE447" s="6"/>
      <c r="BF447" s="6"/>
      <c r="BG447" s="6"/>
      <c r="BH447" s="6"/>
      <c r="BI447" s="6"/>
      <c r="BJ447" s="6"/>
      <c r="BK447" s="6"/>
      <c r="BL447" s="6"/>
      <c r="BM447" s="6"/>
      <c r="BN447" s="6"/>
      <c r="BO447" s="6"/>
      <c r="BP447" s="6"/>
      <c r="BQ447" s="6"/>
      <c r="BR447" s="6"/>
      <c r="BS447" s="6"/>
      <c r="BT447" s="6"/>
      <c r="BU447" s="6"/>
      <c r="BV447" s="6"/>
      <c r="BW447" s="6"/>
      <c r="BX447" s="11"/>
    </row>
    <row r="448" spans="1:76" ht="15.7">
      <c r="A448" s="6"/>
      <c r="B448" s="7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  <c r="AZ448" s="6"/>
      <c r="BA448" s="6"/>
      <c r="BB448" s="6"/>
      <c r="BC448" s="6"/>
      <c r="BD448" s="6"/>
      <c r="BE448" s="6"/>
      <c r="BF448" s="6"/>
      <c r="BG448" s="6"/>
      <c r="BH448" s="6"/>
      <c r="BI448" s="6"/>
      <c r="BJ448" s="6"/>
      <c r="BK448" s="6"/>
      <c r="BL448" s="6"/>
      <c r="BM448" s="6"/>
      <c r="BN448" s="6"/>
      <c r="BO448" s="6"/>
      <c r="BP448" s="6"/>
      <c r="BQ448" s="6"/>
      <c r="BR448" s="6"/>
      <c r="BS448" s="6"/>
      <c r="BT448" s="6"/>
      <c r="BU448" s="6"/>
      <c r="BV448" s="6"/>
      <c r="BW448" s="6"/>
      <c r="BX448" s="11"/>
    </row>
    <row r="449" spans="1:76" ht="15.7">
      <c r="A449" s="6"/>
      <c r="B449" s="7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  <c r="AZ449" s="6"/>
      <c r="BA449" s="6"/>
      <c r="BB449" s="6"/>
      <c r="BC449" s="6"/>
      <c r="BD449" s="6"/>
      <c r="BE449" s="6"/>
      <c r="BF449" s="6"/>
      <c r="BG449" s="6"/>
      <c r="BH449" s="6"/>
      <c r="BI449" s="6"/>
      <c r="BJ449" s="6"/>
      <c r="BK449" s="6"/>
      <c r="BL449" s="6"/>
      <c r="BM449" s="6"/>
      <c r="BN449" s="6"/>
      <c r="BO449" s="6"/>
      <c r="BP449" s="6"/>
      <c r="BQ449" s="6"/>
      <c r="BR449" s="6"/>
      <c r="BS449" s="6"/>
      <c r="BT449" s="6"/>
      <c r="BU449" s="6"/>
      <c r="BV449" s="6"/>
      <c r="BW449" s="6"/>
      <c r="BX449" s="11"/>
    </row>
    <row r="450" spans="1:76" ht="15.7">
      <c r="A450" s="6"/>
      <c r="B450" s="7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  <c r="AZ450" s="6"/>
      <c r="BA450" s="6"/>
      <c r="BB450" s="6"/>
      <c r="BC450" s="6"/>
      <c r="BD450" s="6"/>
      <c r="BE450" s="6"/>
      <c r="BF450" s="6"/>
      <c r="BG450" s="6"/>
      <c r="BH450" s="6"/>
      <c r="BI450" s="6"/>
      <c r="BJ450" s="6"/>
      <c r="BK450" s="6"/>
      <c r="BL450" s="6"/>
      <c r="BM450" s="6"/>
      <c r="BN450" s="6"/>
      <c r="BO450" s="6"/>
      <c r="BP450" s="6"/>
      <c r="BQ450" s="6"/>
      <c r="BR450" s="6"/>
      <c r="BS450" s="6"/>
      <c r="BT450" s="6"/>
      <c r="BU450" s="6"/>
      <c r="BV450" s="6"/>
      <c r="BW450" s="6"/>
      <c r="BX450" s="11"/>
    </row>
    <row r="451" spans="1:76" ht="15.7">
      <c r="A451" s="6"/>
      <c r="B451" s="7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  <c r="AZ451" s="6"/>
      <c r="BA451" s="6"/>
      <c r="BB451" s="6"/>
      <c r="BC451" s="6"/>
      <c r="BD451" s="6"/>
      <c r="BE451" s="6"/>
      <c r="BF451" s="6"/>
      <c r="BG451" s="6"/>
      <c r="BH451" s="6"/>
      <c r="BI451" s="6"/>
      <c r="BJ451" s="6"/>
      <c r="BK451" s="6"/>
      <c r="BL451" s="6"/>
      <c r="BM451" s="6"/>
      <c r="BN451" s="6"/>
      <c r="BO451" s="6"/>
      <c r="BP451" s="6"/>
      <c r="BQ451" s="6"/>
      <c r="BR451" s="6"/>
      <c r="BS451" s="6"/>
      <c r="BT451" s="6"/>
      <c r="BU451" s="6"/>
      <c r="BV451" s="6"/>
      <c r="BW451" s="6"/>
      <c r="BX451" s="11"/>
    </row>
    <row r="452" spans="1:76" ht="15.7">
      <c r="A452" s="6"/>
      <c r="B452" s="7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  <c r="AZ452" s="6"/>
      <c r="BA452" s="6"/>
      <c r="BB452" s="6"/>
      <c r="BC452" s="6"/>
      <c r="BD452" s="6"/>
      <c r="BE452" s="6"/>
      <c r="BF452" s="6"/>
      <c r="BG452" s="6"/>
      <c r="BH452" s="6"/>
      <c r="BI452" s="6"/>
      <c r="BJ452" s="6"/>
      <c r="BK452" s="6"/>
      <c r="BL452" s="6"/>
      <c r="BM452" s="6"/>
      <c r="BN452" s="6"/>
      <c r="BO452" s="6"/>
      <c r="BP452" s="6"/>
      <c r="BQ452" s="6"/>
      <c r="BR452" s="6"/>
      <c r="BS452" s="6"/>
      <c r="BT452" s="6"/>
      <c r="BU452" s="6"/>
      <c r="BV452" s="6"/>
      <c r="BW452" s="6"/>
      <c r="BX452" s="11"/>
    </row>
    <row r="453" spans="1:76" ht="15.7">
      <c r="A453" s="6"/>
      <c r="B453" s="7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  <c r="AZ453" s="6"/>
      <c r="BA453" s="6"/>
      <c r="BB453" s="6"/>
      <c r="BC453" s="6"/>
      <c r="BD453" s="6"/>
      <c r="BE453" s="6"/>
      <c r="BF453" s="6"/>
      <c r="BG453" s="6"/>
      <c r="BH453" s="6"/>
      <c r="BI453" s="6"/>
      <c r="BJ453" s="6"/>
      <c r="BK453" s="6"/>
      <c r="BL453" s="6"/>
      <c r="BM453" s="6"/>
      <c r="BN453" s="6"/>
      <c r="BO453" s="6"/>
      <c r="BP453" s="6"/>
      <c r="BQ453" s="6"/>
      <c r="BR453" s="6"/>
      <c r="BS453" s="6"/>
      <c r="BT453" s="6"/>
      <c r="BU453" s="6"/>
      <c r="BV453" s="6"/>
      <c r="BW453" s="6"/>
      <c r="BX453" s="11"/>
    </row>
    <row r="454" spans="1:76" ht="15.7">
      <c r="A454" s="6"/>
      <c r="B454" s="7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  <c r="AZ454" s="6"/>
      <c r="BA454" s="6"/>
      <c r="BB454" s="6"/>
      <c r="BC454" s="6"/>
      <c r="BD454" s="6"/>
      <c r="BE454" s="6"/>
      <c r="BF454" s="6"/>
      <c r="BG454" s="6"/>
      <c r="BH454" s="6"/>
      <c r="BI454" s="6"/>
      <c r="BJ454" s="6"/>
      <c r="BK454" s="6"/>
      <c r="BL454" s="6"/>
      <c r="BM454" s="6"/>
      <c r="BN454" s="6"/>
      <c r="BO454" s="6"/>
      <c r="BP454" s="6"/>
      <c r="BQ454" s="6"/>
      <c r="BR454" s="6"/>
      <c r="BS454" s="6"/>
      <c r="BT454" s="6"/>
      <c r="BU454" s="6"/>
      <c r="BV454" s="6"/>
      <c r="BW454" s="6"/>
      <c r="BX454" s="11"/>
    </row>
    <row r="455" spans="1:76" ht="15.7">
      <c r="A455" s="6"/>
      <c r="B455" s="7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  <c r="AZ455" s="6"/>
      <c r="BA455" s="6"/>
      <c r="BB455" s="6"/>
      <c r="BC455" s="6"/>
      <c r="BD455" s="6"/>
      <c r="BE455" s="6"/>
      <c r="BF455" s="6"/>
      <c r="BG455" s="6"/>
      <c r="BH455" s="6"/>
      <c r="BI455" s="6"/>
      <c r="BJ455" s="6"/>
      <c r="BK455" s="6"/>
      <c r="BL455" s="6"/>
      <c r="BM455" s="6"/>
      <c r="BN455" s="6"/>
      <c r="BO455" s="6"/>
      <c r="BP455" s="6"/>
      <c r="BQ455" s="6"/>
      <c r="BR455" s="6"/>
      <c r="BS455" s="6"/>
      <c r="BT455" s="6"/>
      <c r="BU455" s="6"/>
      <c r="BV455" s="6"/>
      <c r="BW455" s="6"/>
      <c r="BX455" s="11"/>
    </row>
    <row r="456" spans="1:76" ht="15.7">
      <c r="A456" s="6"/>
      <c r="B456" s="7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  <c r="AZ456" s="6"/>
      <c r="BA456" s="6"/>
      <c r="BB456" s="6"/>
      <c r="BC456" s="6"/>
      <c r="BD456" s="6"/>
      <c r="BE456" s="6"/>
      <c r="BF456" s="6"/>
      <c r="BG456" s="6"/>
      <c r="BH456" s="6"/>
      <c r="BI456" s="6"/>
      <c r="BJ456" s="6"/>
      <c r="BK456" s="6"/>
      <c r="BL456" s="6"/>
      <c r="BM456" s="6"/>
      <c r="BN456" s="6"/>
      <c r="BO456" s="6"/>
      <c r="BP456" s="6"/>
      <c r="BQ456" s="6"/>
      <c r="BR456" s="6"/>
      <c r="BS456" s="6"/>
      <c r="BT456" s="6"/>
      <c r="BU456" s="6"/>
      <c r="BV456" s="6"/>
      <c r="BW456" s="6"/>
      <c r="BX456" s="11"/>
    </row>
    <row r="457" spans="1:76" ht="15.7">
      <c r="A457" s="6"/>
      <c r="B457" s="7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  <c r="AZ457" s="6"/>
      <c r="BA457" s="6"/>
      <c r="BB457" s="6"/>
      <c r="BC457" s="6"/>
      <c r="BD457" s="6"/>
      <c r="BE457" s="6"/>
      <c r="BF457" s="6"/>
      <c r="BG457" s="6"/>
      <c r="BH457" s="6"/>
      <c r="BI457" s="6"/>
      <c r="BJ457" s="6"/>
      <c r="BK457" s="6"/>
      <c r="BL457" s="6"/>
      <c r="BM457" s="6"/>
      <c r="BN457" s="6"/>
      <c r="BO457" s="6"/>
      <c r="BP457" s="6"/>
      <c r="BQ457" s="6"/>
      <c r="BR457" s="6"/>
      <c r="BS457" s="6"/>
      <c r="BT457" s="6"/>
      <c r="BU457" s="6"/>
      <c r="BV457" s="6"/>
      <c r="BW457" s="6"/>
      <c r="BX457" s="11"/>
    </row>
    <row r="458" spans="1:76" ht="15.7">
      <c r="A458" s="6"/>
      <c r="B458" s="7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  <c r="AZ458" s="6"/>
      <c r="BA458" s="6"/>
      <c r="BB458" s="6"/>
      <c r="BC458" s="6"/>
      <c r="BD458" s="6"/>
      <c r="BE458" s="6"/>
      <c r="BF458" s="6"/>
      <c r="BG458" s="6"/>
      <c r="BH458" s="6"/>
      <c r="BI458" s="6"/>
      <c r="BJ458" s="6"/>
      <c r="BK458" s="6"/>
      <c r="BL458" s="6"/>
      <c r="BM458" s="6"/>
      <c r="BN458" s="6"/>
      <c r="BO458" s="6"/>
      <c r="BP458" s="6"/>
      <c r="BQ458" s="6"/>
      <c r="BR458" s="6"/>
      <c r="BS458" s="6"/>
      <c r="BT458" s="6"/>
      <c r="BU458" s="6"/>
      <c r="BV458" s="6"/>
      <c r="BW458" s="6"/>
      <c r="BX458" s="11"/>
    </row>
    <row r="459" spans="1:76" ht="15.7">
      <c r="A459" s="6"/>
      <c r="B459" s="7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  <c r="AZ459" s="6"/>
      <c r="BA459" s="6"/>
      <c r="BB459" s="6"/>
      <c r="BC459" s="6"/>
      <c r="BD459" s="6"/>
      <c r="BE459" s="6"/>
      <c r="BF459" s="6"/>
      <c r="BG459" s="6"/>
      <c r="BH459" s="6"/>
      <c r="BI459" s="6"/>
      <c r="BJ459" s="6"/>
      <c r="BK459" s="6"/>
      <c r="BL459" s="6"/>
      <c r="BM459" s="6"/>
      <c r="BN459" s="6"/>
      <c r="BO459" s="6"/>
      <c r="BP459" s="6"/>
      <c r="BQ459" s="6"/>
      <c r="BR459" s="6"/>
      <c r="BS459" s="6"/>
      <c r="BT459" s="6"/>
      <c r="BU459" s="6"/>
      <c r="BV459" s="6"/>
      <c r="BW459" s="6"/>
      <c r="BX459" s="11"/>
    </row>
    <row r="460" spans="1:76" ht="15.7">
      <c r="A460" s="6"/>
      <c r="B460" s="7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  <c r="AZ460" s="6"/>
      <c r="BA460" s="6"/>
      <c r="BB460" s="6"/>
      <c r="BC460" s="6"/>
      <c r="BD460" s="6"/>
      <c r="BE460" s="6"/>
      <c r="BF460" s="6"/>
      <c r="BG460" s="6"/>
      <c r="BH460" s="6"/>
      <c r="BI460" s="6"/>
      <c r="BJ460" s="6"/>
      <c r="BK460" s="6"/>
      <c r="BL460" s="6"/>
      <c r="BM460" s="6"/>
      <c r="BN460" s="6"/>
      <c r="BO460" s="6"/>
      <c r="BP460" s="6"/>
      <c r="BQ460" s="6"/>
      <c r="BR460" s="6"/>
      <c r="BS460" s="6"/>
      <c r="BT460" s="6"/>
      <c r="BU460" s="6"/>
      <c r="BV460" s="6"/>
      <c r="BW460" s="6"/>
      <c r="BX460" s="11"/>
    </row>
    <row r="461" spans="1:76" ht="15.7">
      <c r="A461" s="6"/>
      <c r="B461" s="7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  <c r="AZ461" s="6"/>
      <c r="BA461" s="6"/>
      <c r="BB461" s="6"/>
      <c r="BC461" s="6"/>
      <c r="BD461" s="6"/>
      <c r="BE461" s="6"/>
      <c r="BF461" s="6"/>
      <c r="BG461" s="6"/>
      <c r="BH461" s="6"/>
      <c r="BI461" s="6"/>
      <c r="BJ461" s="6"/>
      <c r="BK461" s="6"/>
      <c r="BL461" s="6"/>
      <c r="BM461" s="6"/>
      <c r="BN461" s="6"/>
      <c r="BO461" s="6"/>
      <c r="BP461" s="6"/>
      <c r="BQ461" s="6"/>
      <c r="BR461" s="6"/>
      <c r="BS461" s="6"/>
      <c r="BT461" s="6"/>
      <c r="BU461" s="6"/>
      <c r="BV461" s="6"/>
      <c r="BW461" s="6"/>
      <c r="BX461" s="11"/>
    </row>
    <row r="462" spans="1:76" ht="15.7">
      <c r="A462" s="6"/>
      <c r="B462" s="7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  <c r="AZ462" s="6"/>
      <c r="BA462" s="6"/>
      <c r="BB462" s="6"/>
      <c r="BC462" s="6"/>
      <c r="BD462" s="6"/>
      <c r="BE462" s="6"/>
      <c r="BF462" s="6"/>
      <c r="BG462" s="6"/>
      <c r="BH462" s="6"/>
      <c r="BI462" s="6"/>
      <c r="BJ462" s="6"/>
      <c r="BK462" s="6"/>
      <c r="BL462" s="6"/>
      <c r="BM462" s="6"/>
      <c r="BN462" s="6"/>
      <c r="BO462" s="6"/>
      <c r="BP462" s="6"/>
      <c r="BQ462" s="6"/>
      <c r="BR462" s="6"/>
      <c r="BS462" s="6"/>
      <c r="BT462" s="6"/>
      <c r="BU462" s="6"/>
      <c r="BV462" s="6"/>
      <c r="BW462" s="6"/>
      <c r="BX462" s="11"/>
    </row>
    <row r="463" spans="1:76" ht="15.7">
      <c r="A463" s="6"/>
      <c r="B463" s="7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  <c r="AZ463" s="6"/>
      <c r="BA463" s="6"/>
      <c r="BB463" s="6"/>
      <c r="BC463" s="6"/>
      <c r="BD463" s="6"/>
      <c r="BE463" s="6"/>
      <c r="BF463" s="6"/>
      <c r="BG463" s="6"/>
      <c r="BH463" s="6"/>
      <c r="BI463" s="6"/>
      <c r="BJ463" s="6"/>
      <c r="BK463" s="6"/>
      <c r="BL463" s="6"/>
      <c r="BM463" s="6"/>
      <c r="BN463" s="6"/>
      <c r="BO463" s="6"/>
      <c r="BP463" s="6"/>
      <c r="BQ463" s="6"/>
      <c r="BR463" s="6"/>
      <c r="BS463" s="6"/>
      <c r="BT463" s="6"/>
      <c r="BU463" s="6"/>
      <c r="BV463" s="6"/>
      <c r="BW463" s="6"/>
      <c r="BX463" s="11"/>
    </row>
    <row r="464" spans="1:76" ht="15.7">
      <c r="A464" s="6"/>
      <c r="B464" s="7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  <c r="AZ464" s="6"/>
      <c r="BA464" s="6"/>
      <c r="BB464" s="6"/>
      <c r="BC464" s="6"/>
      <c r="BD464" s="6"/>
      <c r="BE464" s="6"/>
      <c r="BF464" s="6"/>
      <c r="BG464" s="6"/>
      <c r="BH464" s="6"/>
      <c r="BI464" s="6"/>
      <c r="BJ464" s="6"/>
      <c r="BK464" s="6"/>
      <c r="BL464" s="6"/>
      <c r="BM464" s="6"/>
      <c r="BN464" s="6"/>
      <c r="BO464" s="6"/>
      <c r="BP464" s="6"/>
      <c r="BQ464" s="6"/>
      <c r="BR464" s="6"/>
      <c r="BS464" s="6"/>
      <c r="BT464" s="6"/>
      <c r="BU464" s="6"/>
      <c r="BV464" s="6"/>
      <c r="BW464" s="6"/>
      <c r="BX464" s="11"/>
    </row>
    <row r="465" spans="1:76" ht="15.7">
      <c r="A465" s="6"/>
      <c r="B465" s="7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  <c r="AZ465" s="6"/>
      <c r="BA465" s="6"/>
      <c r="BB465" s="6"/>
      <c r="BC465" s="6"/>
      <c r="BD465" s="6"/>
      <c r="BE465" s="6"/>
      <c r="BF465" s="6"/>
      <c r="BG465" s="6"/>
      <c r="BH465" s="6"/>
      <c r="BI465" s="6"/>
      <c r="BJ465" s="6"/>
      <c r="BK465" s="6"/>
      <c r="BL465" s="6"/>
      <c r="BM465" s="6"/>
      <c r="BN465" s="6"/>
      <c r="BO465" s="6"/>
      <c r="BP465" s="6"/>
      <c r="BQ465" s="6"/>
      <c r="BR465" s="6"/>
      <c r="BS465" s="6"/>
      <c r="BT465" s="6"/>
      <c r="BU465" s="6"/>
      <c r="BV465" s="6"/>
      <c r="BW465" s="6"/>
      <c r="BX465" s="11"/>
    </row>
    <row r="466" spans="1:76" ht="15.7">
      <c r="A466" s="6"/>
      <c r="B466" s="7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  <c r="AZ466" s="6"/>
      <c r="BA466" s="6"/>
      <c r="BB466" s="6"/>
      <c r="BC466" s="6"/>
      <c r="BD466" s="6"/>
      <c r="BE466" s="6"/>
      <c r="BF466" s="6"/>
      <c r="BG466" s="6"/>
      <c r="BH466" s="6"/>
      <c r="BI466" s="6"/>
      <c r="BJ466" s="6"/>
      <c r="BK466" s="6"/>
      <c r="BL466" s="6"/>
      <c r="BM466" s="6"/>
      <c r="BN466" s="6"/>
      <c r="BO466" s="6"/>
      <c r="BP466" s="6"/>
      <c r="BQ466" s="6"/>
      <c r="BR466" s="6"/>
      <c r="BS466" s="6"/>
      <c r="BT466" s="6"/>
      <c r="BU466" s="6"/>
      <c r="BV466" s="6"/>
      <c r="BW466" s="6"/>
      <c r="BX466" s="11"/>
    </row>
    <row r="467" spans="1:76" ht="15.7">
      <c r="A467" s="6"/>
      <c r="B467" s="7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  <c r="AZ467" s="6"/>
      <c r="BA467" s="6"/>
      <c r="BB467" s="6"/>
      <c r="BC467" s="6"/>
      <c r="BD467" s="6"/>
      <c r="BE467" s="6"/>
      <c r="BF467" s="6"/>
      <c r="BG467" s="6"/>
      <c r="BH467" s="6"/>
      <c r="BI467" s="6"/>
      <c r="BJ467" s="6"/>
      <c r="BK467" s="6"/>
      <c r="BL467" s="6"/>
      <c r="BM467" s="6"/>
      <c r="BN467" s="6"/>
      <c r="BO467" s="6"/>
      <c r="BP467" s="6"/>
      <c r="BQ467" s="6"/>
      <c r="BR467" s="6"/>
      <c r="BS467" s="6"/>
      <c r="BT467" s="6"/>
      <c r="BU467" s="6"/>
      <c r="BV467" s="6"/>
      <c r="BW467" s="6"/>
      <c r="BX467" s="11"/>
    </row>
    <row r="468" spans="1:76" ht="15.7">
      <c r="A468" s="6"/>
      <c r="B468" s="7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  <c r="AZ468" s="6"/>
      <c r="BA468" s="6"/>
      <c r="BB468" s="6"/>
      <c r="BC468" s="6"/>
      <c r="BD468" s="6"/>
      <c r="BE468" s="6"/>
      <c r="BF468" s="6"/>
      <c r="BG468" s="6"/>
      <c r="BH468" s="6"/>
      <c r="BI468" s="6"/>
      <c r="BJ468" s="6"/>
      <c r="BK468" s="6"/>
      <c r="BL468" s="6"/>
      <c r="BM468" s="6"/>
      <c r="BN468" s="6"/>
      <c r="BO468" s="6"/>
      <c r="BP468" s="6"/>
      <c r="BQ468" s="6"/>
      <c r="BR468" s="6"/>
      <c r="BS468" s="6"/>
      <c r="BT468" s="6"/>
      <c r="BU468" s="6"/>
      <c r="BV468" s="6"/>
      <c r="BW468" s="6"/>
      <c r="BX468" s="11"/>
    </row>
    <row r="469" spans="1:76" ht="15.7">
      <c r="A469" s="6"/>
      <c r="B469" s="7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  <c r="AZ469" s="6"/>
      <c r="BA469" s="6"/>
      <c r="BB469" s="6"/>
      <c r="BC469" s="6"/>
      <c r="BD469" s="6"/>
      <c r="BE469" s="6"/>
      <c r="BF469" s="6"/>
      <c r="BG469" s="6"/>
      <c r="BH469" s="6"/>
      <c r="BI469" s="6"/>
      <c r="BJ469" s="6"/>
      <c r="BK469" s="6"/>
      <c r="BL469" s="6"/>
      <c r="BM469" s="6"/>
      <c r="BN469" s="6"/>
      <c r="BO469" s="6"/>
      <c r="BP469" s="6"/>
      <c r="BQ469" s="6"/>
      <c r="BR469" s="6"/>
      <c r="BS469" s="6"/>
      <c r="BT469" s="6"/>
      <c r="BU469" s="6"/>
      <c r="BV469" s="6"/>
      <c r="BW469" s="6"/>
      <c r="BX469" s="11"/>
    </row>
    <row r="470" spans="1:76" ht="15.7">
      <c r="A470" s="6"/>
      <c r="B470" s="7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  <c r="AZ470" s="6"/>
      <c r="BA470" s="6"/>
      <c r="BB470" s="6"/>
      <c r="BC470" s="6"/>
      <c r="BD470" s="6"/>
      <c r="BE470" s="6"/>
      <c r="BF470" s="6"/>
      <c r="BG470" s="6"/>
      <c r="BH470" s="6"/>
      <c r="BI470" s="6"/>
      <c r="BJ470" s="6"/>
      <c r="BK470" s="6"/>
      <c r="BL470" s="6"/>
      <c r="BM470" s="6"/>
      <c r="BN470" s="6"/>
      <c r="BO470" s="6"/>
      <c r="BP470" s="6"/>
      <c r="BQ470" s="6"/>
      <c r="BR470" s="6"/>
      <c r="BS470" s="6"/>
      <c r="BT470" s="6"/>
      <c r="BU470" s="6"/>
      <c r="BV470" s="6"/>
      <c r="BW470" s="6"/>
      <c r="BX470" s="11"/>
    </row>
    <row r="471" spans="1:76" ht="15.7">
      <c r="A471" s="6"/>
      <c r="B471" s="7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  <c r="AZ471" s="6"/>
      <c r="BA471" s="6"/>
      <c r="BB471" s="6"/>
      <c r="BC471" s="6"/>
      <c r="BD471" s="6"/>
      <c r="BE471" s="6"/>
      <c r="BF471" s="6"/>
      <c r="BG471" s="6"/>
      <c r="BH471" s="6"/>
      <c r="BI471" s="6"/>
      <c r="BJ471" s="6"/>
      <c r="BK471" s="6"/>
      <c r="BL471" s="6"/>
      <c r="BM471" s="6"/>
      <c r="BN471" s="6"/>
      <c r="BO471" s="6"/>
      <c r="BP471" s="6"/>
      <c r="BQ471" s="6"/>
      <c r="BR471" s="6"/>
      <c r="BS471" s="6"/>
      <c r="BT471" s="6"/>
      <c r="BU471" s="6"/>
      <c r="BV471" s="6"/>
      <c r="BW471" s="6"/>
      <c r="BX471" s="11"/>
    </row>
    <row r="472" spans="1:76" ht="15.7">
      <c r="A472" s="6"/>
      <c r="B472" s="7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  <c r="AZ472" s="6"/>
      <c r="BA472" s="6"/>
      <c r="BB472" s="6"/>
      <c r="BC472" s="6"/>
      <c r="BD472" s="6"/>
      <c r="BE472" s="6"/>
      <c r="BF472" s="6"/>
      <c r="BG472" s="6"/>
      <c r="BH472" s="6"/>
      <c r="BI472" s="6"/>
      <c r="BJ472" s="6"/>
      <c r="BK472" s="6"/>
      <c r="BL472" s="6"/>
      <c r="BM472" s="6"/>
      <c r="BN472" s="6"/>
      <c r="BO472" s="6"/>
      <c r="BP472" s="6"/>
      <c r="BQ472" s="6"/>
      <c r="BR472" s="6"/>
      <c r="BS472" s="6"/>
      <c r="BT472" s="6"/>
      <c r="BU472" s="6"/>
      <c r="BV472" s="6"/>
      <c r="BW472" s="6"/>
      <c r="BX472" s="11"/>
    </row>
    <row r="473" spans="1:76" ht="15.7">
      <c r="A473" s="6"/>
      <c r="B473" s="7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  <c r="AZ473" s="6"/>
      <c r="BA473" s="6"/>
      <c r="BB473" s="6"/>
      <c r="BC473" s="6"/>
      <c r="BD473" s="6"/>
      <c r="BE473" s="6"/>
      <c r="BF473" s="6"/>
      <c r="BG473" s="6"/>
      <c r="BH473" s="6"/>
      <c r="BI473" s="6"/>
      <c r="BJ473" s="6"/>
      <c r="BK473" s="6"/>
      <c r="BL473" s="6"/>
      <c r="BM473" s="6"/>
      <c r="BN473" s="6"/>
      <c r="BO473" s="6"/>
      <c r="BP473" s="6"/>
      <c r="BQ473" s="6"/>
      <c r="BR473" s="6"/>
      <c r="BS473" s="6"/>
      <c r="BT473" s="6"/>
      <c r="BU473" s="6"/>
      <c r="BV473" s="6"/>
      <c r="BW473" s="6"/>
      <c r="BX473" s="11"/>
    </row>
    <row r="474" spans="1:76" ht="15.7">
      <c r="A474" s="6"/>
      <c r="B474" s="7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  <c r="AZ474" s="6"/>
      <c r="BA474" s="6"/>
      <c r="BB474" s="6"/>
      <c r="BC474" s="6"/>
      <c r="BD474" s="6"/>
      <c r="BE474" s="6"/>
      <c r="BF474" s="6"/>
      <c r="BG474" s="6"/>
      <c r="BH474" s="6"/>
      <c r="BI474" s="6"/>
      <c r="BJ474" s="6"/>
      <c r="BK474" s="6"/>
      <c r="BL474" s="6"/>
      <c r="BM474" s="6"/>
      <c r="BN474" s="6"/>
      <c r="BO474" s="6"/>
      <c r="BP474" s="6"/>
      <c r="BQ474" s="6"/>
      <c r="BR474" s="6"/>
      <c r="BS474" s="6"/>
      <c r="BT474" s="6"/>
      <c r="BU474" s="6"/>
      <c r="BV474" s="6"/>
      <c r="BW474" s="6"/>
      <c r="BX474" s="11"/>
    </row>
    <row r="475" spans="1:76" ht="15.7">
      <c r="A475" s="6"/>
      <c r="B475" s="7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  <c r="AZ475" s="6"/>
      <c r="BA475" s="6"/>
      <c r="BB475" s="6"/>
      <c r="BC475" s="6"/>
      <c r="BD475" s="6"/>
      <c r="BE475" s="6"/>
      <c r="BF475" s="6"/>
      <c r="BG475" s="6"/>
      <c r="BH475" s="6"/>
      <c r="BI475" s="6"/>
      <c r="BJ475" s="6"/>
      <c r="BK475" s="6"/>
      <c r="BL475" s="6"/>
      <c r="BM475" s="6"/>
      <c r="BN475" s="6"/>
      <c r="BO475" s="6"/>
      <c r="BP475" s="6"/>
      <c r="BQ475" s="6"/>
      <c r="BR475" s="6"/>
      <c r="BS475" s="6"/>
      <c r="BT475" s="6"/>
      <c r="BU475" s="6"/>
      <c r="BV475" s="6"/>
      <c r="BW475" s="6"/>
      <c r="BX475" s="11"/>
    </row>
    <row r="476" spans="1:76" ht="15.7">
      <c r="A476" s="6"/>
      <c r="B476" s="7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  <c r="AZ476" s="6"/>
      <c r="BA476" s="6"/>
      <c r="BB476" s="6"/>
      <c r="BC476" s="6"/>
      <c r="BD476" s="6"/>
      <c r="BE476" s="6"/>
      <c r="BF476" s="6"/>
      <c r="BG476" s="6"/>
      <c r="BH476" s="6"/>
      <c r="BI476" s="6"/>
      <c r="BJ476" s="6"/>
      <c r="BK476" s="6"/>
      <c r="BL476" s="6"/>
      <c r="BM476" s="6"/>
      <c r="BN476" s="6"/>
      <c r="BO476" s="6"/>
      <c r="BP476" s="6"/>
      <c r="BQ476" s="6"/>
      <c r="BR476" s="6"/>
      <c r="BS476" s="6"/>
      <c r="BT476" s="6"/>
      <c r="BU476" s="6"/>
      <c r="BV476" s="6"/>
      <c r="BW476" s="6"/>
      <c r="BX476" s="11"/>
    </row>
    <row r="477" spans="1:76" ht="15.7">
      <c r="A477" s="6"/>
      <c r="B477" s="7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  <c r="AZ477" s="6"/>
      <c r="BA477" s="6"/>
      <c r="BB477" s="6"/>
      <c r="BC477" s="6"/>
      <c r="BD477" s="6"/>
      <c r="BE477" s="6"/>
      <c r="BF477" s="6"/>
      <c r="BG477" s="6"/>
      <c r="BH477" s="6"/>
      <c r="BI477" s="6"/>
      <c r="BJ477" s="6"/>
      <c r="BK477" s="6"/>
      <c r="BL477" s="6"/>
      <c r="BM477" s="6"/>
      <c r="BN477" s="6"/>
      <c r="BO477" s="6"/>
      <c r="BP477" s="6"/>
      <c r="BQ477" s="6"/>
      <c r="BR477" s="6"/>
      <c r="BS477" s="6"/>
      <c r="BT477" s="6"/>
      <c r="BU477" s="6"/>
      <c r="BV477" s="6"/>
      <c r="BW477" s="6"/>
      <c r="BX477" s="11"/>
    </row>
    <row r="478" spans="1:76" ht="15.7">
      <c r="A478" s="6"/>
      <c r="B478" s="7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  <c r="AZ478" s="6"/>
      <c r="BA478" s="6"/>
      <c r="BB478" s="6"/>
      <c r="BC478" s="6"/>
      <c r="BD478" s="6"/>
      <c r="BE478" s="6"/>
      <c r="BF478" s="6"/>
      <c r="BG478" s="6"/>
      <c r="BH478" s="6"/>
      <c r="BI478" s="6"/>
      <c r="BJ478" s="6"/>
      <c r="BK478" s="6"/>
      <c r="BL478" s="6"/>
      <c r="BM478" s="6"/>
      <c r="BN478" s="6"/>
      <c r="BO478" s="6"/>
      <c r="BP478" s="6"/>
      <c r="BQ478" s="6"/>
      <c r="BR478" s="6"/>
      <c r="BS478" s="6"/>
      <c r="BT478" s="6"/>
      <c r="BU478" s="6"/>
      <c r="BV478" s="6"/>
      <c r="BW478" s="6"/>
      <c r="BX478" s="11"/>
    </row>
    <row r="479" spans="1:76" ht="15.7">
      <c r="A479" s="6"/>
      <c r="B479" s="7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  <c r="AZ479" s="6"/>
      <c r="BA479" s="6"/>
      <c r="BB479" s="6"/>
      <c r="BC479" s="6"/>
      <c r="BD479" s="6"/>
      <c r="BE479" s="6"/>
      <c r="BF479" s="6"/>
      <c r="BG479" s="6"/>
      <c r="BH479" s="6"/>
      <c r="BI479" s="6"/>
      <c r="BJ479" s="6"/>
      <c r="BK479" s="6"/>
      <c r="BL479" s="6"/>
      <c r="BM479" s="6"/>
      <c r="BN479" s="6"/>
      <c r="BO479" s="6"/>
      <c r="BP479" s="6"/>
      <c r="BQ479" s="6"/>
      <c r="BR479" s="6"/>
      <c r="BS479" s="6"/>
      <c r="BT479" s="6"/>
      <c r="BU479" s="6"/>
      <c r="BV479" s="6"/>
      <c r="BW479" s="6"/>
      <c r="BX479" s="11"/>
    </row>
    <row r="480" spans="1:76" ht="15.7">
      <c r="A480" s="6"/>
      <c r="B480" s="7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  <c r="AZ480" s="6"/>
      <c r="BA480" s="6"/>
      <c r="BB480" s="6"/>
      <c r="BC480" s="6"/>
      <c r="BD480" s="6"/>
      <c r="BE480" s="6"/>
      <c r="BF480" s="6"/>
      <c r="BG480" s="6"/>
      <c r="BH480" s="6"/>
      <c r="BI480" s="6"/>
      <c r="BJ480" s="6"/>
      <c r="BK480" s="6"/>
      <c r="BL480" s="6"/>
      <c r="BM480" s="6"/>
      <c r="BN480" s="6"/>
      <c r="BO480" s="6"/>
      <c r="BP480" s="6"/>
      <c r="BQ480" s="6"/>
      <c r="BR480" s="6"/>
      <c r="BS480" s="6"/>
      <c r="BT480" s="6"/>
      <c r="BU480" s="6"/>
      <c r="BV480" s="6"/>
      <c r="BW480" s="6"/>
      <c r="BX480" s="11"/>
    </row>
    <row r="481" spans="1:76" ht="15.7">
      <c r="A481" s="6"/>
      <c r="B481" s="7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  <c r="AZ481" s="6"/>
      <c r="BA481" s="6"/>
      <c r="BB481" s="6"/>
      <c r="BC481" s="6"/>
      <c r="BD481" s="6"/>
      <c r="BE481" s="6"/>
      <c r="BF481" s="6"/>
      <c r="BG481" s="6"/>
      <c r="BH481" s="6"/>
      <c r="BI481" s="6"/>
      <c r="BJ481" s="6"/>
      <c r="BK481" s="6"/>
      <c r="BL481" s="6"/>
      <c r="BM481" s="6"/>
      <c r="BN481" s="6"/>
      <c r="BO481" s="6"/>
      <c r="BP481" s="6"/>
      <c r="BQ481" s="6"/>
      <c r="BR481" s="6"/>
      <c r="BS481" s="6"/>
      <c r="BT481" s="6"/>
      <c r="BU481" s="6"/>
      <c r="BV481" s="6"/>
      <c r="BW481" s="6"/>
      <c r="BX481" s="11"/>
    </row>
    <row r="482" spans="1:76" ht="15.7">
      <c r="A482" s="6"/>
      <c r="B482" s="7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  <c r="AZ482" s="6"/>
      <c r="BA482" s="6"/>
      <c r="BB482" s="6"/>
      <c r="BC482" s="6"/>
      <c r="BD482" s="6"/>
      <c r="BE482" s="6"/>
      <c r="BF482" s="6"/>
      <c r="BG482" s="6"/>
      <c r="BH482" s="6"/>
      <c r="BI482" s="6"/>
      <c r="BJ482" s="6"/>
      <c r="BK482" s="6"/>
      <c r="BL482" s="6"/>
      <c r="BM482" s="6"/>
      <c r="BN482" s="6"/>
      <c r="BO482" s="6"/>
      <c r="BP482" s="6"/>
      <c r="BQ482" s="6"/>
      <c r="BR482" s="6"/>
      <c r="BS482" s="6"/>
      <c r="BT482" s="6"/>
      <c r="BU482" s="6"/>
      <c r="BV482" s="6"/>
      <c r="BW482" s="6"/>
      <c r="BX482" s="11"/>
    </row>
    <row r="483" spans="1:76" ht="15.7">
      <c r="A483" s="6"/>
      <c r="B483" s="7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  <c r="AZ483" s="6"/>
      <c r="BA483" s="6"/>
      <c r="BB483" s="6"/>
      <c r="BC483" s="6"/>
      <c r="BD483" s="6"/>
      <c r="BE483" s="6"/>
      <c r="BF483" s="6"/>
      <c r="BG483" s="6"/>
      <c r="BH483" s="6"/>
      <c r="BI483" s="6"/>
      <c r="BJ483" s="6"/>
      <c r="BK483" s="6"/>
      <c r="BL483" s="6"/>
      <c r="BM483" s="6"/>
      <c r="BN483" s="6"/>
      <c r="BO483" s="6"/>
      <c r="BP483" s="6"/>
      <c r="BQ483" s="6"/>
      <c r="BR483" s="6"/>
      <c r="BS483" s="6"/>
      <c r="BT483" s="6"/>
      <c r="BU483" s="6"/>
      <c r="BV483" s="6"/>
      <c r="BW483" s="6"/>
      <c r="BX483" s="11"/>
    </row>
    <row r="484" spans="1:76" ht="15.7">
      <c r="A484" s="6"/>
      <c r="B484" s="7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  <c r="AZ484" s="6"/>
      <c r="BA484" s="6"/>
      <c r="BB484" s="6"/>
      <c r="BC484" s="6"/>
      <c r="BD484" s="6"/>
      <c r="BE484" s="6"/>
      <c r="BF484" s="6"/>
      <c r="BG484" s="6"/>
      <c r="BH484" s="6"/>
      <c r="BI484" s="6"/>
      <c r="BJ484" s="6"/>
      <c r="BK484" s="6"/>
      <c r="BL484" s="6"/>
      <c r="BM484" s="6"/>
      <c r="BN484" s="6"/>
      <c r="BO484" s="6"/>
      <c r="BP484" s="6"/>
      <c r="BQ484" s="6"/>
      <c r="BR484" s="6"/>
      <c r="BS484" s="6"/>
      <c r="BT484" s="6"/>
      <c r="BU484" s="6"/>
      <c r="BV484" s="6"/>
      <c r="BW484" s="6"/>
      <c r="BX484" s="11"/>
    </row>
    <row r="485" spans="1:76" ht="15.7">
      <c r="A485" s="6"/>
      <c r="B485" s="7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  <c r="AZ485" s="6"/>
      <c r="BA485" s="6"/>
      <c r="BB485" s="6"/>
      <c r="BC485" s="6"/>
      <c r="BD485" s="6"/>
      <c r="BE485" s="6"/>
      <c r="BF485" s="6"/>
      <c r="BG485" s="6"/>
      <c r="BH485" s="6"/>
      <c r="BI485" s="6"/>
      <c r="BJ485" s="6"/>
      <c r="BK485" s="6"/>
      <c r="BL485" s="6"/>
      <c r="BM485" s="6"/>
      <c r="BN485" s="6"/>
      <c r="BO485" s="6"/>
      <c r="BP485" s="6"/>
      <c r="BQ485" s="6"/>
      <c r="BR485" s="6"/>
      <c r="BS485" s="6"/>
      <c r="BT485" s="6"/>
      <c r="BU485" s="6"/>
      <c r="BV485" s="6"/>
      <c r="BW485" s="6"/>
      <c r="BX485" s="11"/>
    </row>
    <row r="486" spans="1:76" ht="15.7">
      <c r="A486" s="6"/>
      <c r="B486" s="7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  <c r="AZ486" s="6"/>
      <c r="BA486" s="6"/>
      <c r="BB486" s="6"/>
      <c r="BC486" s="6"/>
      <c r="BD486" s="6"/>
      <c r="BE486" s="6"/>
      <c r="BF486" s="6"/>
      <c r="BG486" s="6"/>
      <c r="BH486" s="6"/>
      <c r="BI486" s="6"/>
      <c r="BJ486" s="6"/>
      <c r="BK486" s="6"/>
      <c r="BL486" s="6"/>
      <c r="BM486" s="6"/>
      <c r="BN486" s="6"/>
      <c r="BO486" s="6"/>
      <c r="BP486" s="6"/>
      <c r="BQ486" s="6"/>
      <c r="BR486" s="6"/>
      <c r="BS486" s="6"/>
      <c r="BT486" s="6"/>
      <c r="BU486" s="6"/>
      <c r="BV486" s="6"/>
      <c r="BW486" s="6"/>
      <c r="BX486" s="11"/>
    </row>
    <row r="487" spans="1:76" ht="15.7">
      <c r="A487" s="6"/>
      <c r="B487" s="7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  <c r="AZ487" s="6"/>
      <c r="BA487" s="6"/>
      <c r="BB487" s="6"/>
      <c r="BC487" s="6"/>
      <c r="BD487" s="6"/>
      <c r="BE487" s="6"/>
      <c r="BF487" s="6"/>
      <c r="BG487" s="6"/>
      <c r="BH487" s="6"/>
      <c r="BI487" s="6"/>
      <c r="BJ487" s="6"/>
      <c r="BK487" s="6"/>
      <c r="BL487" s="6"/>
      <c r="BM487" s="6"/>
      <c r="BN487" s="6"/>
      <c r="BO487" s="6"/>
      <c r="BP487" s="6"/>
      <c r="BQ487" s="6"/>
      <c r="BR487" s="6"/>
      <c r="BS487" s="6"/>
      <c r="BT487" s="6"/>
      <c r="BU487" s="6"/>
      <c r="BV487" s="6"/>
      <c r="BW487" s="6"/>
      <c r="BX487" s="11"/>
    </row>
    <row r="488" spans="1:76" ht="15.7">
      <c r="A488" s="6"/>
      <c r="B488" s="7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  <c r="AZ488" s="6"/>
      <c r="BA488" s="6"/>
      <c r="BB488" s="6"/>
      <c r="BC488" s="6"/>
      <c r="BD488" s="6"/>
      <c r="BE488" s="6"/>
      <c r="BF488" s="6"/>
      <c r="BG488" s="6"/>
      <c r="BH488" s="6"/>
      <c r="BI488" s="6"/>
      <c r="BJ488" s="6"/>
      <c r="BK488" s="6"/>
      <c r="BL488" s="6"/>
      <c r="BM488" s="6"/>
      <c r="BN488" s="6"/>
      <c r="BO488" s="6"/>
      <c r="BP488" s="6"/>
      <c r="BQ488" s="6"/>
      <c r="BR488" s="6"/>
      <c r="BS488" s="6"/>
      <c r="BT488" s="6"/>
      <c r="BU488" s="6"/>
      <c r="BV488" s="6"/>
      <c r="BW488" s="6"/>
      <c r="BX488" s="11"/>
    </row>
    <row r="489" spans="1:76" ht="15.7">
      <c r="A489" s="6"/>
      <c r="B489" s="7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  <c r="AZ489" s="6"/>
      <c r="BA489" s="6"/>
      <c r="BB489" s="6"/>
      <c r="BC489" s="6"/>
      <c r="BD489" s="6"/>
      <c r="BE489" s="6"/>
      <c r="BF489" s="6"/>
      <c r="BG489" s="6"/>
      <c r="BH489" s="6"/>
      <c r="BI489" s="6"/>
      <c r="BJ489" s="6"/>
      <c r="BK489" s="6"/>
      <c r="BL489" s="6"/>
      <c r="BM489" s="6"/>
      <c r="BN489" s="6"/>
      <c r="BO489" s="6"/>
      <c r="BP489" s="6"/>
      <c r="BQ489" s="6"/>
      <c r="BR489" s="6"/>
      <c r="BS489" s="6"/>
      <c r="BT489" s="6"/>
      <c r="BU489" s="6"/>
      <c r="BV489" s="6"/>
      <c r="BW489" s="6"/>
      <c r="BX489" s="11"/>
    </row>
    <row r="490" spans="1:76" ht="15.7">
      <c r="A490" s="6"/>
      <c r="B490" s="7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  <c r="AZ490" s="6"/>
      <c r="BA490" s="6"/>
      <c r="BB490" s="6"/>
      <c r="BC490" s="6"/>
      <c r="BD490" s="6"/>
      <c r="BE490" s="6"/>
      <c r="BF490" s="6"/>
      <c r="BG490" s="6"/>
      <c r="BH490" s="6"/>
      <c r="BI490" s="6"/>
      <c r="BJ490" s="6"/>
      <c r="BK490" s="6"/>
      <c r="BL490" s="6"/>
      <c r="BM490" s="6"/>
      <c r="BN490" s="6"/>
      <c r="BO490" s="6"/>
      <c r="BP490" s="6"/>
      <c r="BQ490" s="6"/>
      <c r="BR490" s="6"/>
      <c r="BS490" s="6"/>
      <c r="BT490" s="6"/>
      <c r="BU490" s="6"/>
      <c r="BV490" s="6"/>
      <c r="BW490" s="6"/>
      <c r="BX490" s="11"/>
    </row>
    <row r="491" spans="1:76" ht="15.7">
      <c r="A491" s="6"/>
      <c r="B491" s="7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  <c r="AZ491" s="6"/>
      <c r="BA491" s="6"/>
      <c r="BB491" s="6"/>
      <c r="BC491" s="6"/>
      <c r="BD491" s="6"/>
      <c r="BE491" s="6"/>
      <c r="BF491" s="6"/>
      <c r="BG491" s="6"/>
      <c r="BH491" s="6"/>
      <c r="BI491" s="6"/>
      <c r="BJ491" s="6"/>
      <c r="BK491" s="6"/>
      <c r="BL491" s="6"/>
      <c r="BM491" s="6"/>
      <c r="BN491" s="6"/>
      <c r="BO491" s="6"/>
      <c r="BP491" s="6"/>
      <c r="BQ491" s="6"/>
      <c r="BR491" s="6"/>
      <c r="BS491" s="6"/>
      <c r="BT491" s="6"/>
      <c r="BU491" s="6"/>
      <c r="BV491" s="6"/>
      <c r="BW491" s="6"/>
      <c r="BX491" s="11"/>
    </row>
    <row r="492" spans="1:76" ht="15.7">
      <c r="A492" s="6"/>
      <c r="B492" s="7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  <c r="AZ492" s="6"/>
      <c r="BA492" s="6"/>
      <c r="BB492" s="6"/>
      <c r="BC492" s="6"/>
      <c r="BD492" s="6"/>
      <c r="BE492" s="6"/>
      <c r="BF492" s="6"/>
      <c r="BG492" s="6"/>
      <c r="BH492" s="6"/>
      <c r="BI492" s="6"/>
      <c r="BJ492" s="6"/>
      <c r="BK492" s="6"/>
      <c r="BL492" s="6"/>
      <c r="BM492" s="6"/>
      <c r="BN492" s="6"/>
      <c r="BO492" s="6"/>
      <c r="BP492" s="6"/>
      <c r="BQ492" s="6"/>
      <c r="BR492" s="6"/>
      <c r="BS492" s="6"/>
      <c r="BT492" s="6"/>
      <c r="BU492" s="6"/>
      <c r="BV492" s="6"/>
      <c r="BW492" s="6"/>
      <c r="BX492" s="11"/>
    </row>
    <row r="493" spans="1:76" ht="15.7">
      <c r="A493" s="6"/>
      <c r="B493" s="7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  <c r="AZ493" s="6"/>
      <c r="BA493" s="6"/>
      <c r="BB493" s="6"/>
      <c r="BC493" s="6"/>
      <c r="BD493" s="6"/>
      <c r="BE493" s="6"/>
      <c r="BF493" s="6"/>
      <c r="BG493" s="6"/>
      <c r="BH493" s="6"/>
      <c r="BI493" s="6"/>
      <c r="BJ493" s="6"/>
      <c r="BK493" s="6"/>
      <c r="BL493" s="6"/>
      <c r="BM493" s="6"/>
      <c r="BN493" s="6"/>
      <c r="BO493" s="6"/>
      <c r="BP493" s="6"/>
      <c r="BQ493" s="6"/>
      <c r="BR493" s="6"/>
      <c r="BS493" s="6"/>
      <c r="BT493" s="6"/>
      <c r="BU493" s="6"/>
      <c r="BV493" s="6"/>
      <c r="BW493" s="6"/>
      <c r="BX493" s="11"/>
    </row>
    <row r="494" spans="1:76" ht="15.7">
      <c r="A494" s="6"/>
      <c r="B494" s="7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  <c r="AZ494" s="6"/>
      <c r="BA494" s="6"/>
      <c r="BB494" s="6"/>
      <c r="BC494" s="6"/>
      <c r="BD494" s="6"/>
      <c r="BE494" s="6"/>
      <c r="BF494" s="6"/>
      <c r="BG494" s="6"/>
      <c r="BH494" s="6"/>
      <c r="BI494" s="6"/>
      <c r="BJ494" s="6"/>
      <c r="BK494" s="6"/>
      <c r="BL494" s="6"/>
      <c r="BM494" s="6"/>
      <c r="BN494" s="6"/>
      <c r="BO494" s="6"/>
      <c r="BP494" s="6"/>
      <c r="BQ494" s="6"/>
      <c r="BR494" s="6"/>
      <c r="BS494" s="6"/>
      <c r="BT494" s="6"/>
      <c r="BU494" s="6"/>
      <c r="BV494" s="6"/>
      <c r="BW494" s="6"/>
      <c r="BX494" s="11"/>
    </row>
    <row r="495" spans="1:76" ht="15.7">
      <c r="A495" s="6"/>
      <c r="B495" s="7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  <c r="AZ495" s="6"/>
      <c r="BA495" s="6"/>
      <c r="BB495" s="6"/>
      <c r="BC495" s="6"/>
      <c r="BD495" s="6"/>
      <c r="BE495" s="6"/>
      <c r="BF495" s="6"/>
      <c r="BG495" s="6"/>
      <c r="BH495" s="6"/>
      <c r="BI495" s="6"/>
      <c r="BJ495" s="6"/>
      <c r="BK495" s="6"/>
      <c r="BL495" s="6"/>
      <c r="BM495" s="6"/>
      <c r="BN495" s="6"/>
      <c r="BO495" s="6"/>
      <c r="BP495" s="6"/>
      <c r="BQ495" s="6"/>
      <c r="BR495" s="6"/>
      <c r="BS495" s="6"/>
      <c r="BT495" s="6"/>
      <c r="BU495" s="6"/>
      <c r="BV495" s="6"/>
      <c r="BW495" s="6"/>
      <c r="BX495" s="11"/>
    </row>
    <row r="496" spans="1:76" ht="15.7">
      <c r="A496" s="6"/>
      <c r="B496" s="7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  <c r="AZ496" s="6"/>
      <c r="BA496" s="6"/>
      <c r="BB496" s="6"/>
      <c r="BC496" s="6"/>
      <c r="BD496" s="6"/>
      <c r="BE496" s="6"/>
      <c r="BF496" s="6"/>
      <c r="BG496" s="6"/>
      <c r="BH496" s="6"/>
      <c r="BI496" s="6"/>
      <c r="BJ496" s="6"/>
      <c r="BK496" s="6"/>
      <c r="BL496" s="6"/>
      <c r="BM496" s="6"/>
      <c r="BN496" s="6"/>
      <c r="BO496" s="6"/>
      <c r="BP496" s="6"/>
      <c r="BQ496" s="6"/>
      <c r="BR496" s="6"/>
      <c r="BS496" s="6"/>
      <c r="BT496" s="6"/>
      <c r="BU496" s="6"/>
      <c r="BV496" s="6"/>
      <c r="BW496" s="6"/>
      <c r="BX496" s="11"/>
    </row>
    <row r="497" spans="1:76" ht="15.7">
      <c r="A497" s="6"/>
      <c r="B497" s="7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  <c r="AZ497" s="6"/>
      <c r="BA497" s="6"/>
      <c r="BB497" s="6"/>
      <c r="BC497" s="6"/>
      <c r="BD497" s="6"/>
      <c r="BE497" s="6"/>
      <c r="BF497" s="6"/>
      <c r="BG497" s="6"/>
      <c r="BH497" s="6"/>
      <c r="BI497" s="6"/>
      <c r="BJ497" s="6"/>
      <c r="BK497" s="6"/>
      <c r="BL497" s="6"/>
      <c r="BM497" s="6"/>
      <c r="BN497" s="6"/>
      <c r="BO497" s="6"/>
      <c r="BP497" s="6"/>
      <c r="BQ497" s="6"/>
      <c r="BR497" s="6"/>
      <c r="BS497" s="6"/>
      <c r="BT497" s="6"/>
      <c r="BU497" s="6"/>
      <c r="BV497" s="6"/>
      <c r="BW497" s="6"/>
      <c r="BX497" s="11"/>
    </row>
    <row r="498" spans="1:76" ht="15.7">
      <c r="A498" s="6"/>
      <c r="B498" s="7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  <c r="AZ498" s="6"/>
      <c r="BA498" s="6"/>
      <c r="BB498" s="6"/>
      <c r="BC498" s="6"/>
      <c r="BD498" s="6"/>
      <c r="BE498" s="6"/>
      <c r="BF498" s="6"/>
      <c r="BG498" s="6"/>
      <c r="BH498" s="6"/>
      <c r="BI498" s="6"/>
      <c r="BJ498" s="6"/>
      <c r="BK498" s="6"/>
      <c r="BL498" s="6"/>
      <c r="BM498" s="6"/>
      <c r="BN498" s="6"/>
      <c r="BO498" s="6"/>
      <c r="BP498" s="6"/>
      <c r="BQ498" s="6"/>
      <c r="BR498" s="6"/>
      <c r="BS498" s="6"/>
      <c r="BT498" s="6"/>
      <c r="BU498" s="6"/>
      <c r="BV498" s="6"/>
      <c r="BW498" s="6"/>
      <c r="BX498" s="11"/>
    </row>
    <row r="499" spans="1:76" ht="15.7">
      <c r="A499" s="6"/>
      <c r="B499" s="7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  <c r="AZ499" s="6"/>
      <c r="BA499" s="6"/>
      <c r="BB499" s="6"/>
      <c r="BC499" s="6"/>
      <c r="BD499" s="6"/>
      <c r="BE499" s="6"/>
      <c r="BF499" s="6"/>
      <c r="BG499" s="6"/>
      <c r="BH499" s="6"/>
      <c r="BI499" s="6"/>
      <c r="BJ499" s="6"/>
      <c r="BK499" s="6"/>
      <c r="BL499" s="6"/>
      <c r="BM499" s="6"/>
      <c r="BN499" s="6"/>
      <c r="BO499" s="6"/>
      <c r="BP499" s="6"/>
      <c r="BQ499" s="6"/>
      <c r="BR499" s="6"/>
      <c r="BS499" s="6"/>
      <c r="BT499" s="6"/>
      <c r="BU499" s="6"/>
      <c r="BV499" s="6"/>
      <c r="BW499" s="6"/>
      <c r="BX499" s="11"/>
    </row>
    <row r="500" spans="1:76" ht="15.7">
      <c r="A500" s="6"/>
      <c r="B500" s="7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  <c r="AZ500" s="6"/>
      <c r="BA500" s="6"/>
      <c r="BB500" s="6"/>
      <c r="BC500" s="6"/>
      <c r="BD500" s="6"/>
      <c r="BE500" s="6"/>
      <c r="BF500" s="6"/>
      <c r="BG500" s="6"/>
      <c r="BH500" s="6"/>
      <c r="BI500" s="6"/>
      <c r="BJ500" s="6"/>
      <c r="BK500" s="6"/>
      <c r="BL500" s="6"/>
      <c r="BM500" s="6"/>
      <c r="BN500" s="6"/>
      <c r="BO500" s="6"/>
      <c r="BP500" s="6"/>
      <c r="BQ500" s="6"/>
      <c r="BR500" s="6"/>
      <c r="BS500" s="6"/>
      <c r="BT500" s="6"/>
      <c r="BU500" s="6"/>
      <c r="BV500" s="6"/>
      <c r="BW500" s="6"/>
      <c r="BX500" s="11"/>
    </row>
    <row r="501" spans="1:76" ht="15.7">
      <c r="A501" s="6"/>
      <c r="B501" s="7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  <c r="AZ501" s="6"/>
      <c r="BA501" s="6"/>
      <c r="BB501" s="6"/>
      <c r="BC501" s="6"/>
      <c r="BD501" s="6"/>
      <c r="BE501" s="6"/>
      <c r="BF501" s="6"/>
      <c r="BG501" s="6"/>
      <c r="BH501" s="6"/>
      <c r="BI501" s="6"/>
      <c r="BJ501" s="6"/>
      <c r="BK501" s="6"/>
      <c r="BL501" s="6"/>
      <c r="BM501" s="6"/>
      <c r="BN501" s="6"/>
      <c r="BO501" s="6"/>
      <c r="BP501" s="6"/>
      <c r="BQ501" s="6"/>
      <c r="BR501" s="6"/>
      <c r="BS501" s="6"/>
      <c r="BT501" s="6"/>
      <c r="BU501" s="6"/>
      <c r="BV501" s="6"/>
      <c r="BW501" s="6"/>
      <c r="BX501" s="11"/>
    </row>
    <row r="502" spans="1:76" ht="15.7">
      <c r="A502" s="6"/>
      <c r="B502" s="7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  <c r="AZ502" s="6"/>
      <c r="BA502" s="6"/>
      <c r="BB502" s="6"/>
      <c r="BC502" s="6"/>
      <c r="BD502" s="6"/>
      <c r="BE502" s="6"/>
      <c r="BF502" s="6"/>
      <c r="BG502" s="6"/>
      <c r="BH502" s="6"/>
      <c r="BI502" s="6"/>
      <c r="BJ502" s="6"/>
      <c r="BK502" s="6"/>
      <c r="BL502" s="6"/>
      <c r="BM502" s="6"/>
      <c r="BN502" s="6"/>
      <c r="BO502" s="6"/>
      <c r="BP502" s="6"/>
      <c r="BQ502" s="6"/>
      <c r="BR502" s="6"/>
      <c r="BS502" s="6"/>
      <c r="BT502" s="6"/>
      <c r="BU502" s="6"/>
      <c r="BV502" s="6"/>
      <c r="BW502" s="6"/>
      <c r="BX502" s="11"/>
    </row>
    <row r="503" spans="1:76" ht="15.7">
      <c r="A503" s="6"/>
      <c r="B503" s="7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  <c r="AZ503" s="6"/>
      <c r="BA503" s="6"/>
      <c r="BB503" s="6"/>
      <c r="BC503" s="6"/>
      <c r="BD503" s="6"/>
      <c r="BE503" s="6"/>
      <c r="BF503" s="6"/>
      <c r="BG503" s="6"/>
      <c r="BH503" s="6"/>
      <c r="BI503" s="6"/>
      <c r="BJ503" s="6"/>
      <c r="BK503" s="6"/>
      <c r="BL503" s="6"/>
      <c r="BM503" s="6"/>
      <c r="BN503" s="6"/>
      <c r="BO503" s="6"/>
      <c r="BP503" s="6"/>
      <c r="BQ503" s="6"/>
      <c r="BR503" s="6"/>
      <c r="BS503" s="6"/>
      <c r="BT503" s="6"/>
      <c r="BU503" s="6"/>
      <c r="BV503" s="6"/>
      <c r="BW503" s="6"/>
      <c r="BX503" s="11"/>
    </row>
    <row r="504" spans="1:76" ht="15.7">
      <c r="A504" s="6"/>
      <c r="B504" s="7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  <c r="AZ504" s="6"/>
      <c r="BA504" s="6"/>
      <c r="BB504" s="6"/>
      <c r="BC504" s="6"/>
      <c r="BD504" s="6"/>
      <c r="BE504" s="6"/>
      <c r="BF504" s="6"/>
      <c r="BG504" s="6"/>
      <c r="BH504" s="6"/>
      <c r="BI504" s="6"/>
      <c r="BJ504" s="6"/>
      <c r="BK504" s="6"/>
      <c r="BL504" s="6"/>
      <c r="BM504" s="6"/>
      <c r="BN504" s="6"/>
      <c r="BO504" s="6"/>
      <c r="BP504" s="6"/>
      <c r="BQ504" s="6"/>
      <c r="BR504" s="6"/>
      <c r="BS504" s="6"/>
      <c r="BT504" s="6"/>
      <c r="BU504" s="6"/>
      <c r="BV504" s="6"/>
      <c r="BW504" s="6"/>
      <c r="BX504" s="11"/>
    </row>
    <row r="505" spans="1:76" ht="15.7">
      <c r="A505" s="6"/>
      <c r="B505" s="7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  <c r="AZ505" s="6"/>
      <c r="BA505" s="6"/>
      <c r="BB505" s="6"/>
      <c r="BC505" s="6"/>
      <c r="BD505" s="6"/>
      <c r="BE505" s="6"/>
      <c r="BF505" s="6"/>
      <c r="BG505" s="6"/>
      <c r="BH505" s="6"/>
      <c r="BI505" s="6"/>
      <c r="BJ505" s="6"/>
      <c r="BK505" s="6"/>
      <c r="BL505" s="6"/>
      <c r="BM505" s="6"/>
      <c r="BN505" s="6"/>
      <c r="BO505" s="6"/>
      <c r="BP505" s="6"/>
      <c r="BQ505" s="6"/>
      <c r="BR505" s="6"/>
      <c r="BS505" s="6"/>
      <c r="BT505" s="6"/>
      <c r="BU505" s="6"/>
      <c r="BV505" s="6"/>
      <c r="BW505" s="6"/>
      <c r="BX505" s="11"/>
    </row>
    <row r="506" spans="1:76" ht="15.7">
      <c r="A506" s="6"/>
      <c r="B506" s="7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  <c r="AZ506" s="6"/>
      <c r="BA506" s="6"/>
      <c r="BB506" s="6"/>
      <c r="BC506" s="6"/>
      <c r="BD506" s="6"/>
      <c r="BE506" s="6"/>
      <c r="BF506" s="6"/>
      <c r="BG506" s="6"/>
      <c r="BH506" s="6"/>
      <c r="BI506" s="6"/>
      <c r="BJ506" s="6"/>
      <c r="BK506" s="6"/>
      <c r="BL506" s="6"/>
      <c r="BM506" s="6"/>
      <c r="BN506" s="6"/>
      <c r="BO506" s="6"/>
      <c r="BP506" s="6"/>
      <c r="BQ506" s="6"/>
      <c r="BR506" s="6"/>
      <c r="BS506" s="6"/>
      <c r="BT506" s="6"/>
      <c r="BU506" s="6"/>
      <c r="BV506" s="6"/>
      <c r="BW506" s="6"/>
      <c r="BX506" s="11"/>
    </row>
    <row r="507" spans="1:76" ht="15.7">
      <c r="A507" s="6"/>
      <c r="B507" s="7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  <c r="AZ507" s="6"/>
      <c r="BA507" s="6"/>
      <c r="BB507" s="6"/>
      <c r="BC507" s="6"/>
      <c r="BD507" s="6"/>
      <c r="BE507" s="6"/>
      <c r="BF507" s="6"/>
      <c r="BG507" s="6"/>
      <c r="BH507" s="6"/>
      <c r="BI507" s="6"/>
      <c r="BJ507" s="6"/>
      <c r="BK507" s="6"/>
      <c r="BL507" s="6"/>
      <c r="BM507" s="6"/>
      <c r="BN507" s="6"/>
      <c r="BO507" s="6"/>
      <c r="BP507" s="6"/>
      <c r="BQ507" s="6"/>
      <c r="BR507" s="6"/>
      <c r="BS507" s="6"/>
      <c r="BT507" s="6"/>
      <c r="BU507" s="6"/>
      <c r="BV507" s="6"/>
      <c r="BW507" s="6"/>
      <c r="BX507" s="11"/>
    </row>
    <row r="508" spans="1:76" ht="15.7">
      <c r="A508" s="6"/>
      <c r="B508" s="7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  <c r="AZ508" s="6"/>
      <c r="BA508" s="6"/>
      <c r="BB508" s="6"/>
      <c r="BC508" s="6"/>
      <c r="BD508" s="6"/>
      <c r="BE508" s="6"/>
      <c r="BF508" s="6"/>
      <c r="BG508" s="6"/>
      <c r="BH508" s="6"/>
      <c r="BI508" s="6"/>
      <c r="BJ508" s="6"/>
      <c r="BK508" s="6"/>
      <c r="BL508" s="6"/>
      <c r="BM508" s="6"/>
      <c r="BN508" s="6"/>
      <c r="BO508" s="6"/>
      <c r="BP508" s="6"/>
      <c r="BQ508" s="6"/>
      <c r="BR508" s="6"/>
      <c r="BS508" s="6"/>
      <c r="BT508" s="6"/>
      <c r="BU508" s="6"/>
      <c r="BV508" s="6"/>
      <c r="BW508" s="6"/>
      <c r="BX508" s="11"/>
    </row>
    <row r="509" spans="1:76" ht="15.7">
      <c r="A509" s="6"/>
      <c r="B509" s="7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  <c r="AZ509" s="6"/>
      <c r="BA509" s="6"/>
      <c r="BB509" s="6"/>
      <c r="BC509" s="6"/>
      <c r="BD509" s="6"/>
      <c r="BE509" s="6"/>
      <c r="BF509" s="6"/>
      <c r="BG509" s="6"/>
      <c r="BH509" s="6"/>
      <c r="BI509" s="6"/>
      <c r="BJ509" s="6"/>
      <c r="BK509" s="6"/>
      <c r="BL509" s="6"/>
      <c r="BM509" s="6"/>
      <c r="BN509" s="6"/>
      <c r="BO509" s="6"/>
      <c r="BP509" s="6"/>
      <c r="BQ509" s="6"/>
      <c r="BR509" s="6"/>
      <c r="BS509" s="6"/>
      <c r="BT509" s="6"/>
      <c r="BU509" s="6"/>
      <c r="BV509" s="6"/>
      <c r="BW509" s="6"/>
      <c r="BX509" s="11"/>
    </row>
    <row r="510" spans="1:76" ht="15.7">
      <c r="A510" s="6"/>
      <c r="B510" s="7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  <c r="AZ510" s="6"/>
      <c r="BA510" s="6"/>
      <c r="BB510" s="6"/>
      <c r="BC510" s="6"/>
      <c r="BD510" s="6"/>
      <c r="BE510" s="6"/>
      <c r="BF510" s="6"/>
      <c r="BG510" s="6"/>
      <c r="BH510" s="6"/>
      <c r="BI510" s="6"/>
      <c r="BJ510" s="6"/>
      <c r="BK510" s="6"/>
      <c r="BL510" s="6"/>
      <c r="BM510" s="6"/>
      <c r="BN510" s="6"/>
      <c r="BO510" s="6"/>
      <c r="BP510" s="6"/>
      <c r="BQ510" s="6"/>
      <c r="BR510" s="6"/>
      <c r="BS510" s="6"/>
      <c r="BT510" s="6"/>
      <c r="BU510" s="6"/>
      <c r="BV510" s="6"/>
      <c r="BW510" s="6"/>
      <c r="BX510" s="11"/>
    </row>
    <row r="511" spans="1:76" ht="15.7">
      <c r="A511" s="6"/>
      <c r="B511" s="7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  <c r="AZ511" s="6"/>
      <c r="BA511" s="6"/>
      <c r="BB511" s="6"/>
      <c r="BC511" s="6"/>
      <c r="BD511" s="6"/>
      <c r="BE511" s="6"/>
      <c r="BF511" s="6"/>
      <c r="BG511" s="6"/>
      <c r="BH511" s="6"/>
      <c r="BI511" s="6"/>
      <c r="BJ511" s="6"/>
      <c r="BK511" s="6"/>
      <c r="BL511" s="6"/>
      <c r="BM511" s="6"/>
      <c r="BN511" s="6"/>
      <c r="BO511" s="6"/>
      <c r="BP511" s="6"/>
      <c r="BQ511" s="6"/>
      <c r="BR511" s="6"/>
      <c r="BS511" s="6"/>
      <c r="BT511" s="6"/>
      <c r="BU511" s="6"/>
      <c r="BV511" s="6"/>
      <c r="BW511" s="6"/>
      <c r="BX511" s="11"/>
    </row>
    <row r="512" spans="1:76" ht="15.7">
      <c r="A512" s="6"/>
      <c r="B512" s="7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  <c r="AZ512" s="6"/>
      <c r="BA512" s="6"/>
      <c r="BB512" s="6"/>
      <c r="BC512" s="6"/>
      <c r="BD512" s="6"/>
      <c r="BE512" s="6"/>
      <c r="BF512" s="6"/>
      <c r="BG512" s="6"/>
      <c r="BH512" s="6"/>
      <c r="BI512" s="6"/>
      <c r="BJ512" s="6"/>
      <c r="BK512" s="6"/>
      <c r="BL512" s="6"/>
      <c r="BM512" s="6"/>
      <c r="BN512" s="6"/>
      <c r="BO512" s="6"/>
      <c r="BP512" s="6"/>
      <c r="BQ512" s="6"/>
      <c r="BR512" s="6"/>
      <c r="BS512" s="6"/>
      <c r="BT512" s="6"/>
      <c r="BU512" s="6"/>
      <c r="BV512" s="6"/>
      <c r="BW512" s="6"/>
      <c r="BX512" s="11"/>
    </row>
    <row r="513" spans="1:76" ht="15.7">
      <c r="A513" s="6"/>
      <c r="B513" s="7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  <c r="AZ513" s="6"/>
      <c r="BA513" s="6"/>
      <c r="BB513" s="6"/>
      <c r="BC513" s="6"/>
      <c r="BD513" s="6"/>
      <c r="BE513" s="6"/>
      <c r="BF513" s="6"/>
      <c r="BG513" s="6"/>
      <c r="BH513" s="6"/>
      <c r="BI513" s="6"/>
      <c r="BJ513" s="6"/>
      <c r="BK513" s="6"/>
      <c r="BL513" s="6"/>
      <c r="BM513" s="6"/>
      <c r="BN513" s="6"/>
      <c r="BO513" s="6"/>
      <c r="BP513" s="6"/>
      <c r="BQ513" s="6"/>
      <c r="BR513" s="6"/>
      <c r="BS513" s="6"/>
      <c r="BT513" s="6"/>
      <c r="BU513" s="6"/>
      <c r="BV513" s="6"/>
      <c r="BW513" s="6"/>
      <c r="BX513" s="11"/>
    </row>
    <row r="514" spans="1:76" ht="15.7">
      <c r="A514" s="6"/>
      <c r="B514" s="7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  <c r="AZ514" s="6"/>
      <c r="BA514" s="6"/>
      <c r="BB514" s="6"/>
      <c r="BC514" s="6"/>
      <c r="BD514" s="6"/>
      <c r="BE514" s="6"/>
      <c r="BF514" s="6"/>
      <c r="BG514" s="6"/>
      <c r="BH514" s="6"/>
      <c r="BI514" s="6"/>
      <c r="BJ514" s="6"/>
      <c r="BK514" s="6"/>
      <c r="BL514" s="6"/>
      <c r="BM514" s="6"/>
      <c r="BN514" s="6"/>
      <c r="BO514" s="6"/>
      <c r="BP514" s="6"/>
      <c r="BQ514" s="6"/>
      <c r="BR514" s="6"/>
      <c r="BS514" s="6"/>
      <c r="BT514" s="6"/>
      <c r="BU514" s="6"/>
      <c r="BV514" s="6"/>
      <c r="BW514" s="6"/>
      <c r="BX514" s="11"/>
    </row>
    <row r="515" spans="1:76" ht="15.7">
      <c r="A515" s="6"/>
      <c r="B515" s="7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  <c r="AZ515" s="6"/>
      <c r="BA515" s="6"/>
      <c r="BB515" s="6"/>
      <c r="BC515" s="6"/>
      <c r="BD515" s="6"/>
      <c r="BE515" s="6"/>
      <c r="BF515" s="6"/>
      <c r="BG515" s="6"/>
      <c r="BH515" s="6"/>
      <c r="BI515" s="6"/>
      <c r="BJ515" s="6"/>
      <c r="BK515" s="6"/>
      <c r="BL515" s="6"/>
      <c r="BM515" s="6"/>
      <c r="BN515" s="6"/>
      <c r="BO515" s="6"/>
      <c r="BP515" s="6"/>
      <c r="BQ515" s="6"/>
      <c r="BR515" s="6"/>
      <c r="BS515" s="6"/>
      <c r="BT515" s="6"/>
      <c r="BU515" s="6"/>
      <c r="BV515" s="6"/>
      <c r="BW515" s="6"/>
      <c r="BX515" s="11"/>
    </row>
    <row r="516" spans="1:76" ht="15.7">
      <c r="A516" s="6"/>
      <c r="B516" s="7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  <c r="AZ516" s="6"/>
      <c r="BA516" s="6"/>
      <c r="BB516" s="6"/>
      <c r="BC516" s="6"/>
      <c r="BD516" s="6"/>
      <c r="BE516" s="6"/>
      <c r="BF516" s="6"/>
      <c r="BG516" s="6"/>
      <c r="BH516" s="6"/>
      <c r="BI516" s="6"/>
      <c r="BJ516" s="6"/>
      <c r="BK516" s="6"/>
      <c r="BL516" s="6"/>
      <c r="BM516" s="6"/>
      <c r="BN516" s="6"/>
      <c r="BO516" s="6"/>
      <c r="BP516" s="6"/>
      <c r="BQ516" s="6"/>
      <c r="BR516" s="6"/>
      <c r="BS516" s="6"/>
      <c r="BT516" s="6"/>
      <c r="BU516" s="6"/>
      <c r="BV516" s="6"/>
      <c r="BW516" s="6"/>
      <c r="BX516" s="11"/>
    </row>
    <row r="517" spans="1:76" ht="15.7">
      <c r="A517" s="6"/>
      <c r="B517" s="7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  <c r="AZ517" s="6"/>
      <c r="BA517" s="6"/>
      <c r="BB517" s="6"/>
      <c r="BC517" s="6"/>
      <c r="BD517" s="6"/>
      <c r="BE517" s="6"/>
      <c r="BF517" s="6"/>
      <c r="BG517" s="6"/>
      <c r="BH517" s="6"/>
      <c r="BI517" s="6"/>
      <c r="BJ517" s="6"/>
      <c r="BK517" s="6"/>
      <c r="BL517" s="6"/>
      <c r="BM517" s="6"/>
      <c r="BN517" s="6"/>
      <c r="BO517" s="6"/>
      <c r="BP517" s="6"/>
      <c r="BQ517" s="6"/>
      <c r="BR517" s="6"/>
      <c r="BS517" s="6"/>
      <c r="BT517" s="6"/>
      <c r="BU517" s="6"/>
      <c r="BV517" s="6"/>
      <c r="BW517" s="6"/>
      <c r="BX517" s="11"/>
    </row>
    <row r="518" spans="1:76" ht="15.7">
      <c r="A518" s="6"/>
      <c r="B518" s="7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  <c r="AZ518" s="6"/>
      <c r="BA518" s="6"/>
      <c r="BB518" s="6"/>
      <c r="BC518" s="6"/>
      <c r="BD518" s="6"/>
      <c r="BE518" s="6"/>
      <c r="BF518" s="6"/>
      <c r="BG518" s="6"/>
      <c r="BH518" s="6"/>
      <c r="BI518" s="6"/>
      <c r="BJ518" s="6"/>
      <c r="BK518" s="6"/>
      <c r="BL518" s="6"/>
      <c r="BM518" s="6"/>
      <c r="BN518" s="6"/>
      <c r="BO518" s="6"/>
      <c r="BP518" s="6"/>
      <c r="BQ518" s="6"/>
      <c r="BR518" s="6"/>
      <c r="BS518" s="6"/>
      <c r="BT518" s="6"/>
      <c r="BU518" s="6"/>
      <c r="BV518" s="6"/>
      <c r="BW518" s="6"/>
      <c r="BX518" s="11"/>
    </row>
    <row r="519" spans="1:76" ht="15.7">
      <c r="A519" s="6"/>
      <c r="B519" s="7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  <c r="AZ519" s="6"/>
      <c r="BA519" s="6"/>
      <c r="BB519" s="6"/>
      <c r="BC519" s="6"/>
      <c r="BD519" s="6"/>
      <c r="BE519" s="6"/>
      <c r="BF519" s="6"/>
      <c r="BG519" s="6"/>
      <c r="BH519" s="6"/>
      <c r="BI519" s="6"/>
      <c r="BJ519" s="6"/>
      <c r="BK519" s="6"/>
      <c r="BL519" s="6"/>
      <c r="BM519" s="6"/>
      <c r="BN519" s="6"/>
      <c r="BO519" s="6"/>
      <c r="BP519" s="6"/>
      <c r="BQ519" s="6"/>
      <c r="BR519" s="6"/>
      <c r="BS519" s="6"/>
      <c r="BT519" s="6"/>
      <c r="BU519" s="6"/>
      <c r="BV519" s="6"/>
      <c r="BW519" s="6"/>
      <c r="BX519" s="11"/>
    </row>
    <row r="520" spans="1:76" ht="15.7">
      <c r="A520" s="6"/>
      <c r="B520" s="7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  <c r="AZ520" s="6"/>
      <c r="BA520" s="6"/>
      <c r="BB520" s="6"/>
      <c r="BC520" s="6"/>
      <c r="BD520" s="6"/>
      <c r="BE520" s="6"/>
      <c r="BF520" s="6"/>
      <c r="BG520" s="6"/>
      <c r="BH520" s="6"/>
      <c r="BI520" s="6"/>
      <c r="BJ520" s="6"/>
      <c r="BK520" s="6"/>
      <c r="BL520" s="6"/>
      <c r="BM520" s="6"/>
      <c r="BN520" s="6"/>
      <c r="BO520" s="6"/>
      <c r="BP520" s="6"/>
      <c r="BQ520" s="6"/>
      <c r="BR520" s="6"/>
      <c r="BS520" s="6"/>
      <c r="BT520" s="6"/>
      <c r="BU520" s="6"/>
      <c r="BV520" s="6"/>
      <c r="BW520" s="6"/>
      <c r="BX520" s="11"/>
    </row>
    <row r="521" spans="1:76" ht="15.7">
      <c r="A521" s="6"/>
      <c r="B521" s="7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  <c r="AZ521" s="6"/>
      <c r="BA521" s="6"/>
      <c r="BB521" s="6"/>
      <c r="BC521" s="6"/>
      <c r="BD521" s="6"/>
      <c r="BE521" s="6"/>
      <c r="BF521" s="6"/>
      <c r="BG521" s="6"/>
      <c r="BH521" s="6"/>
      <c r="BI521" s="6"/>
      <c r="BJ521" s="6"/>
      <c r="BK521" s="6"/>
      <c r="BL521" s="6"/>
      <c r="BM521" s="6"/>
      <c r="BN521" s="6"/>
      <c r="BO521" s="6"/>
      <c r="BP521" s="6"/>
      <c r="BQ521" s="6"/>
      <c r="BR521" s="6"/>
      <c r="BS521" s="6"/>
      <c r="BT521" s="6"/>
      <c r="BU521" s="6"/>
      <c r="BV521" s="6"/>
      <c r="BW521" s="6"/>
      <c r="BX521" s="11"/>
    </row>
    <row r="522" spans="1:76" ht="15.7">
      <c r="A522" s="6"/>
      <c r="B522" s="7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  <c r="AZ522" s="6"/>
      <c r="BA522" s="6"/>
      <c r="BB522" s="6"/>
      <c r="BC522" s="6"/>
      <c r="BD522" s="6"/>
      <c r="BE522" s="6"/>
      <c r="BF522" s="6"/>
      <c r="BG522" s="6"/>
      <c r="BH522" s="6"/>
      <c r="BI522" s="6"/>
      <c r="BJ522" s="6"/>
      <c r="BK522" s="6"/>
      <c r="BL522" s="6"/>
      <c r="BM522" s="6"/>
      <c r="BN522" s="6"/>
      <c r="BO522" s="6"/>
      <c r="BP522" s="6"/>
      <c r="BQ522" s="6"/>
      <c r="BR522" s="6"/>
      <c r="BS522" s="6"/>
      <c r="BT522" s="6"/>
      <c r="BU522" s="6"/>
      <c r="BV522" s="6"/>
      <c r="BW522" s="6"/>
      <c r="BX522" s="11"/>
    </row>
    <row r="523" spans="1:76" ht="15.7">
      <c r="A523" s="6"/>
      <c r="B523" s="7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  <c r="AZ523" s="6"/>
      <c r="BA523" s="6"/>
      <c r="BB523" s="6"/>
      <c r="BC523" s="6"/>
      <c r="BD523" s="6"/>
      <c r="BE523" s="6"/>
      <c r="BF523" s="6"/>
      <c r="BG523" s="6"/>
      <c r="BH523" s="6"/>
      <c r="BI523" s="6"/>
      <c r="BJ523" s="6"/>
      <c r="BK523" s="6"/>
      <c r="BL523" s="6"/>
      <c r="BM523" s="6"/>
      <c r="BN523" s="6"/>
      <c r="BO523" s="6"/>
      <c r="BP523" s="6"/>
      <c r="BQ523" s="6"/>
      <c r="BR523" s="6"/>
      <c r="BS523" s="6"/>
      <c r="BT523" s="6"/>
      <c r="BU523" s="6"/>
      <c r="BV523" s="6"/>
      <c r="BW523" s="6"/>
      <c r="BX523" s="11"/>
    </row>
    <row r="524" spans="1:76" ht="15.7">
      <c r="A524" s="6"/>
      <c r="B524" s="7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  <c r="AZ524" s="6"/>
      <c r="BA524" s="6"/>
      <c r="BB524" s="6"/>
      <c r="BC524" s="6"/>
      <c r="BD524" s="6"/>
      <c r="BE524" s="6"/>
      <c r="BF524" s="6"/>
      <c r="BG524" s="6"/>
      <c r="BH524" s="6"/>
      <c r="BI524" s="6"/>
      <c r="BJ524" s="6"/>
      <c r="BK524" s="6"/>
      <c r="BL524" s="6"/>
      <c r="BM524" s="6"/>
      <c r="BN524" s="6"/>
      <c r="BO524" s="6"/>
      <c r="BP524" s="6"/>
      <c r="BQ524" s="6"/>
      <c r="BR524" s="6"/>
      <c r="BS524" s="6"/>
      <c r="BT524" s="6"/>
      <c r="BU524" s="6"/>
      <c r="BV524" s="6"/>
      <c r="BW524" s="6"/>
      <c r="BX524" s="11"/>
    </row>
    <row r="525" spans="1:76" ht="15.7">
      <c r="A525" s="6"/>
      <c r="B525" s="7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  <c r="AZ525" s="6"/>
      <c r="BA525" s="6"/>
      <c r="BB525" s="6"/>
      <c r="BC525" s="6"/>
      <c r="BD525" s="6"/>
      <c r="BE525" s="6"/>
      <c r="BF525" s="6"/>
      <c r="BG525" s="6"/>
      <c r="BH525" s="6"/>
      <c r="BI525" s="6"/>
      <c r="BJ525" s="6"/>
      <c r="BK525" s="6"/>
      <c r="BL525" s="6"/>
      <c r="BM525" s="6"/>
      <c r="BN525" s="6"/>
      <c r="BO525" s="6"/>
      <c r="BP525" s="6"/>
      <c r="BQ525" s="6"/>
      <c r="BR525" s="6"/>
      <c r="BS525" s="6"/>
      <c r="BT525" s="6"/>
      <c r="BU525" s="6"/>
      <c r="BV525" s="6"/>
      <c r="BW525" s="6"/>
      <c r="BX525" s="11"/>
    </row>
    <row r="526" spans="1:76" ht="15.7">
      <c r="A526" s="6"/>
      <c r="B526" s="7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  <c r="AZ526" s="6"/>
      <c r="BA526" s="6"/>
      <c r="BB526" s="6"/>
      <c r="BC526" s="6"/>
      <c r="BD526" s="6"/>
      <c r="BE526" s="6"/>
      <c r="BF526" s="6"/>
      <c r="BG526" s="6"/>
      <c r="BH526" s="6"/>
      <c r="BI526" s="6"/>
      <c r="BJ526" s="6"/>
      <c r="BK526" s="6"/>
      <c r="BL526" s="6"/>
      <c r="BM526" s="6"/>
      <c r="BN526" s="6"/>
      <c r="BO526" s="6"/>
      <c r="BP526" s="6"/>
      <c r="BQ526" s="6"/>
      <c r="BR526" s="6"/>
      <c r="BS526" s="6"/>
      <c r="BT526" s="6"/>
      <c r="BU526" s="6"/>
      <c r="BV526" s="6"/>
      <c r="BW526" s="6"/>
      <c r="BX526" s="11"/>
    </row>
    <row r="527" spans="1:76" ht="15.7">
      <c r="A527" s="6"/>
      <c r="B527" s="7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  <c r="AZ527" s="6"/>
      <c r="BA527" s="6"/>
      <c r="BB527" s="6"/>
      <c r="BC527" s="6"/>
      <c r="BD527" s="6"/>
      <c r="BE527" s="6"/>
      <c r="BF527" s="6"/>
      <c r="BG527" s="6"/>
      <c r="BH527" s="6"/>
      <c r="BI527" s="6"/>
      <c r="BJ527" s="6"/>
      <c r="BK527" s="6"/>
      <c r="BL527" s="6"/>
      <c r="BM527" s="6"/>
      <c r="BN527" s="6"/>
      <c r="BO527" s="6"/>
      <c r="BP527" s="6"/>
      <c r="BQ527" s="6"/>
      <c r="BR527" s="6"/>
      <c r="BS527" s="6"/>
      <c r="BT527" s="6"/>
      <c r="BU527" s="6"/>
      <c r="BV527" s="6"/>
      <c r="BW527" s="6"/>
      <c r="BX527" s="11"/>
    </row>
    <row r="528" spans="1:76" ht="15.7">
      <c r="A528" s="6"/>
      <c r="B528" s="7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  <c r="AZ528" s="6"/>
      <c r="BA528" s="6"/>
      <c r="BB528" s="6"/>
      <c r="BC528" s="6"/>
      <c r="BD528" s="6"/>
      <c r="BE528" s="6"/>
      <c r="BF528" s="6"/>
      <c r="BG528" s="6"/>
      <c r="BH528" s="6"/>
      <c r="BI528" s="6"/>
      <c r="BJ528" s="6"/>
      <c r="BK528" s="6"/>
      <c r="BL528" s="6"/>
      <c r="BM528" s="6"/>
      <c r="BN528" s="6"/>
      <c r="BO528" s="6"/>
      <c r="BP528" s="6"/>
      <c r="BQ528" s="6"/>
      <c r="BR528" s="6"/>
      <c r="BS528" s="6"/>
      <c r="BT528" s="6"/>
      <c r="BU528" s="6"/>
      <c r="BV528" s="6"/>
      <c r="BW528" s="6"/>
      <c r="BX528" s="11"/>
    </row>
    <row r="529" spans="1:76" ht="15.7">
      <c r="A529" s="6"/>
      <c r="B529" s="7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  <c r="AZ529" s="6"/>
      <c r="BA529" s="6"/>
      <c r="BB529" s="6"/>
      <c r="BC529" s="6"/>
      <c r="BD529" s="6"/>
      <c r="BE529" s="6"/>
      <c r="BF529" s="6"/>
      <c r="BG529" s="6"/>
      <c r="BH529" s="6"/>
      <c r="BI529" s="6"/>
      <c r="BJ529" s="6"/>
      <c r="BK529" s="6"/>
      <c r="BL529" s="6"/>
      <c r="BM529" s="6"/>
      <c r="BN529" s="6"/>
      <c r="BO529" s="6"/>
      <c r="BP529" s="6"/>
      <c r="BQ529" s="6"/>
      <c r="BR529" s="6"/>
      <c r="BS529" s="6"/>
      <c r="BT529" s="6"/>
      <c r="BU529" s="6"/>
      <c r="BV529" s="6"/>
      <c r="BW529" s="6"/>
      <c r="BX529" s="11"/>
    </row>
    <row r="530" spans="1:76" ht="15.7">
      <c r="A530" s="6"/>
      <c r="B530" s="7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  <c r="AZ530" s="6"/>
      <c r="BA530" s="6"/>
      <c r="BB530" s="6"/>
      <c r="BC530" s="6"/>
      <c r="BD530" s="6"/>
      <c r="BE530" s="6"/>
      <c r="BF530" s="6"/>
      <c r="BG530" s="6"/>
      <c r="BH530" s="6"/>
      <c r="BI530" s="6"/>
      <c r="BJ530" s="6"/>
      <c r="BK530" s="6"/>
      <c r="BL530" s="6"/>
      <c r="BM530" s="6"/>
      <c r="BN530" s="6"/>
      <c r="BO530" s="6"/>
      <c r="BP530" s="6"/>
      <c r="BQ530" s="6"/>
      <c r="BR530" s="6"/>
      <c r="BS530" s="6"/>
      <c r="BT530" s="6"/>
      <c r="BU530" s="6"/>
      <c r="BV530" s="6"/>
      <c r="BW530" s="6"/>
      <c r="BX530" s="11"/>
    </row>
    <row r="531" spans="1:76" ht="15.7">
      <c r="A531" s="6"/>
      <c r="B531" s="7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  <c r="AZ531" s="6"/>
      <c r="BA531" s="6"/>
      <c r="BB531" s="6"/>
      <c r="BC531" s="6"/>
      <c r="BD531" s="6"/>
      <c r="BE531" s="6"/>
      <c r="BF531" s="6"/>
      <c r="BG531" s="6"/>
      <c r="BH531" s="6"/>
      <c r="BI531" s="6"/>
      <c r="BJ531" s="6"/>
      <c r="BK531" s="6"/>
      <c r="BL531" s="6"/>
      <c r="BM531" s="6"/>
      <c r="BN531" s="6"/>
      <c r="BO531" s="6"/>
      <c r="BP531" s="6"/>
      <c r="BQ531" s="6"/>
      <c r="BR531" s="6"/>
      <c r="BS531" s="6"/>
      <c r="BT531" s="6"/>
      <c r="BU531" s="6"/>
      <c r="BV531" s="6"/>
      <c r="BW531" s="6"/>
      <c r="BX531" s="11"/>
    </row>
    <row r="532" spans="1:76" ht="15.7">
      <c r="A532" s="6"/>
      <c r="B532" s="7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  <c r="AZ532" s="6"/>
      <c r="BA532" s="6"/>
      <c r="BB532" s="6"/>
      <c r="BC532" s="6"/>
      <c r="BD532" s="6"/>
      <c r="BE532" s="6"/>
      <c r="BF532" s="6"/>
      <c r="BG532" s="6"/>
      <c r="BH532" s="6"/>
      <c r="BI532" s="6"/>
      <c r="BJ532" s="6"/>
      <c r="BK532" s="6"/>
      <c r="BL532" s="6"/>
      <c r="BM532" s="6"/>
      <c r="BN532" s="6"/>
      <c r="BO532" s="6"/>
      <c r="BP532" s="6"/>
      <c r="BQ532" s="6"/>
      <c r="BR532" s="6"/>
      <c r="BS532" s="6"/>
      <c r="BT532" s="6"/>
      <c r="BU532" s="6"/>
      <c r="BV532" s="6"/>
      <c r="BW532" s="6"/>
      <c r="BX532" s="11"/>
    </row>
    <row r="533" spans="1:76" ht="15.7">
      <c r="A533" s="6"/>
      <c r="B533" s="7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  <c r="AZ533" s="6"/>
      <c r="BA533" s="6"/>
      <c r="BB533" s="6"/>
      <c r="BC533" s="6"/>
      <c r="BD533" s="6"/>
      <c r="BE533" s="6"/>
      <c r="BF533" s="6"/>
      <c r="BG533" s="6"/>
      <c r="BH533" s="6"/>
      <c r="BI533" s="6"/>
      <c r="BJ533" s="6"/>
      <c r="BK533" s="6"/>
      <c r="BL533" s="6"/>
      <c r="BM533" s="6"/>
      <c r="BN533" s="6"/>
      <c r="BO533" s="6"/>
      <c r="BP533" s="6"/>
      <c r="BQ533" s="6"/>
      <c r="BR533" s="6"/>
      <c r="BS533" s="6"/>
      <c r="BT533" s="6"/>
      <c r="BU533" s="6"/>
      <c r="BV533" s="6"/>
      <c r="BW533" s="6"/>
      <c r="BX533" s="11"/>
    </row>
    <row r="534" spans="1:76" ht="15.7">
      <c r="A534" s="6"/>
      <c r="B534" s="7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  <c r="AZ534" s="6"/>
      <c r="BA534" s="6"/>
      <c r="BB534" s="6"/>
      <c r="BC534" s="6"/>
      <c r="BD534" s="6"/>
      <c r="BE534" s="6"/>
      <c r="BF534" s="6"/>
      <c r="BG534" s="6"/>
      <c r="BH534" s="6"/>
      <c r="BI534" s="6"/>
      <c r="BJ534" s="6"/>
      <c r="BK534" s="6"/>
      <c r="BL534" s="6"/>
      <c r="BM534" s="6"/>
      <c r="BN534" s="6"/>
      <c r="BO534" s="6"/>
      <c r="BP534" s="6"/>
      <c r="BQ534" s="6"/>
      <c r="BR534" s="6"/>
      <c r="BS534" s="6"/>
      <c r="BT534" s="6"/>
      <c r="BU534" s="6"/>
      <c r="BV534" s="6"/>
      <c r="BW534" s="6"/>
      <c r="BX534" s="11"/>
    </row>
    <row r="535" spans="1:76" ht="15.7">
      <c r="A535" s="6"/>
      <c r="B535" s="7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  <c r="AZ535" s="6"/>
      <c r="BA535" s="6"/>
      <c r="BB535" s="6"/>
      <c r="BC535" s="6"/>
      <c r="BD535" s="6"/>
      <c r="BE535" s="6"/>
      <c r="BF535" s="6"/>
      <c r="BG535" s="6"/>
      <c r="BH535" s="6"/>
      <c r="BI535" s="6"/>
      <c r="BJ535" s="6"/>
      <c r="BK535" s="6"/>
      <c r="BL535" s="6"/>
      <c r="BM535" s="6"/>
      <c r="BN535" s="6"/>
      <c r="BO535" s="6"/>
      <c r="BP535" s="6"/>
      <c r="BQ535" s="6"/>
      <c r="BR535" s="6"/>
      <c r="BS535" s="6"/>
      <c r="BT535" s="6"/>
      <c r="BU535" s="6"/>
      <c r="BV535" s="6"/>
      <c r="BW535" s="6"/>
      <c r="BX535" s="11"/>
    </row>
    <row r="536" spans="1:76" ht="15.7">
      <c r="A536" s="6"/>
      <c r="B536" s="7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  <c r="AZ536" s="6"/>
      <c r="BA536" s="6"/>
      <c r="BB536" s="6"/>
      <c r="BC536" s="6"/>
      <c r="BD536" s="6"/>
      <c r="BE536" s="6"/>
      <c r="BF536" s="6"/>
      <c r="BG536" s="6"/>
      <c r="BH536" s="6"/>
      <c r="BI536" s="6"/>
      <c r="BJ536" s="6"/>
      <c r="BK536" s="6"/>
      <c r="BL536" s="6"/>
      <c r="BM536" s="6"/>
      <c r="BN536" s="6"/>
      <c r="BO536" s="6"/>
      <c r="BP536" s="6"/>
      <c r="BQ536" s="6"/>
      <c r="BR536" s="6"/>
      <c r="BS536" s="6"/>
      <c r="BT536" s="6"/>
      <c r="BU536" s="6"/>
      <c r="BV536" s="6"/>
      <c r="BW536" s="6"/>
      <c r="BX536" s="11"/>
    </row>
    <row r="537" spans="1:76" ht="15.7">
      <c r="A537" s="6"/>
      <c r="B537" s="7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  <c r="AZ537" s="6"/>
      <c r="BA537" s="6"/>
      <c r="BB537" s="6"/>
      <c r="BC537" s="6"/>
      <c r="BD537" s="6"/>
      <c r="BE537" s="6"/>
      <c r="BF537" s="6"/>
      <c r="BG537" s="6"/>
      <c r="BH537" s="6"/>
      <c r="BI537" s="6"/>
      <c r="BJ537" s="6"/>
      <c r="BK537" s="6"/>
      <c r="BL537" s="6"/>
      <c r="BM537" s="6"/>
      <c r="BN537" s="6"/>
      <c r="BO537" s="6"/>
      <c r="BP537" s="6"/>
      <c r="BQ537" s="6"/>
      <c r="BR537" s="6"/>
      <c r="BS537" s="6"/>
      <c r="BT537" s="6"/>
      <c r="BU537" s="6"/>
      <c r="BV537" s="6"/>
      <c r="BW537" s="6"/>
      <c r="BX537" s="11"/>
    </row>
    <row r="538" spans="1:76" ht="15.7">
      <c r="A538" s="6"/>
      <c r="B538" s="7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  <c r="AZ538" s="6"/>
      <c r="BA538" s="6"/>
      <c r="BB538" s="6"/>
      <c r="BC538" s="6"/>
      <c r="BD538" s="6"/>
      <c r="BE538" s="6"/>
      <c r="BF538" s="6"/>
      <c r="BG538" s="6"/>
      <c r="BH538" s="6"/>
      <c r="BI538" s="6"/>
      <c r="BJ538" s="6"/>
      <c r="BK538" s="6"/>
      <c r="BL538" s="6"/>
      <c r="BM538" s="6"/>
      <c r="BN538" s="6"/>
      <c r="BO538" s="6"/>
      <c r="BP538" s="6"/>
      <c r="BQ538" s="6"/>
      <c r="BR538" s="6"/>
      <c r="BS538" s="6"/>
      <c r="BT538" s="6"/>
      <c r="BU538" s="6"/>
      <c r="BV538" s="6"/>
      <c r="BW538" s="6"/>
      <c r="BX538" s="11"/>
    </row>
    <row r="539" spans="1:76" ht="15.7">
      <c r="A539" s="6"/>
      <c r="B539" s="7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  <c r="AZ539" s="6"/>
      <c r="BA539" s="6"/>
      <c r="BB539" s="6"/>
      <c r="BC539" s="6"/>
      <c r="BD539" s="6"/>
      <c r="BE539" s="6"/>
      <c r="BF539" s="6"/>
      <c r="BG539" s="6"/>
      <c r="BH539" s="6"/>
      <c r="BI539" s="6"/>
      <c r="BJ539" s="6"/>
      <c r="BK539" s="6"/>
      <c r="BL539" s="6"/>
      <c r="BM539" s="6"/>
      <c r="BN539" s="6"/>
      <c r="BO539" s="6"/>
      <c r="BP539" s="6"/>
      <c r="BQ539" s="6"/>
      <c r="BR539" s="6"/>
      <c r="BS539" s="6"/>
      <c r="BT539" s="6"/>
      <c r="BU539" s="6"/>
      <c r="BV539" s="6"/>
      <c r="BW539" s="6"/>
      <c r="BX539" s="11"/>
    </row>
    <row r="540" spans="1:76" ht="15.7">
      <c r="A540" s="6"/>
      <c r="B540" s="7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  <c r="AZ540" s="6"/>
      <c r="BA540" s="6"/>
      <c r="BB540" s="6"/>
      <c r="BC540" s="6"/>
      <c r="BD540" s="6"/>
      <c r="BE540" s="6"/>
      <c r="BF540" s="6"/>
      <c r="BG540" s="6"/>
      <c r="BH540" s="6"/>
      <c r="BI540" s="6"/>
      <c r="BJ540" s="6"/>
      <c r="BK540" s="6"/>
      <c r="BL540" s="6"/>
      <c r="BM540" s="6"/>
      <c r="BN540" s="6"/>
      <c r="BO540" s="6"/>
      <c r="BP540" s="6"/>
      <c r="BQ540" s="6"/>
      <c r="BR540" s="6"/>
      <c r="BS540" s="6"/>
      <c r="BT540" s="6"/>
      <c r="BU540" s="6"/>
      <c r="BV540" s="6"/>
      <c r="BW540" s="6"/>
      <c r="BX540" s="11"/>
    </row>
    <row r="541" spans="1:76" ht="15.7">
      <c r="A541" s="6"/>
      <c r="B541" s="7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  <c r="AZ541" s="6"/>
      <c r="BA541" s="6"/>
      <c r="BB541" s="6"/>
      <c r="BC541" s="6"/>
      <c r="BD541" s="6"/>
      <c r="BE541" s="6"/>
      <c r="BF541" s="6"/>
      <c r="BG541" s="6"/>
      <c r="BH541" s="6"/>
      <c r="BI541" s="6"/>
      <c r="BJ541" s="6"/>
      <c r="BK541" s="6"/>
      <c r="BL541" s="6"/>
      <c r="BM541" s="6"/>
      <c r="BN541" s="6"/>
      <c r="BO541" s="6"/>
      <c r="BP541" s="6"/>
      <c r="BQ541" s="6"/>
      <c r="BR541" s="6"/>
      <c r="BS541" s="6"/>
      <c r="BT541" s="6"/>
      <c r="BU541" s="6"/>
      <c r="BV541" s="6"/>
      <c r="BW541" s="6"/>
      <c r="BX541" s="11"/>
    </row>
    <row r="542" spans="1:76" ht="15.7">
      <c r="A542" s="6"/>
      <c r="B542" s="7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  <c r="AZ542" s="6"/>
      <c r="BA542" s="6"/>
      <c r="BB542" s="6"/>
      <c r="BC542" s="6"/>
      <c r="BD542" s="6"/>
      <c r="BE542" s="6"/>
      <c r="BF542" s="6"/>
      <c r="BG542" s="6"/>
      <c r="BH542" s="6"/>
      <c r="BI542" s="6"/>
      <c r="BJ542" s="6"/>
      <c r="BK542" s="6"/>
      <c r="BL542" s="6"/>
      <c r="BM542" s="6"/>
      <c r="BN542" s="6"/>
      <c r="BO542" s="6"/>
      <c r="BP542" s="6"/>
      <c r="BQ542" s="6"/>
      <c r="BR542" s="6"/>
      <c r="BS542" s="6"/>
      <c r="BT542" s="6"/>
      <c r="BU542" s="6"/>
      <c r="BV542" s="6"/>
      <c r="BW542" s="6"/>
      <c r="BX542" s="11"/>
    </row>
    <row r="543" spans="1:76" ht="15.7">
      <c r="A543" s="6"/>
      <c r="B543" s="7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  <c r="AZ543" s="6"/>
      <c r="BA543" s="6"/>
      <c r="BB543" s="6"/>
      <c r="BC543" s="6"/>
      <c r="BD543" s="6"/>
      <c r="BE543" s="6"/>
      <c r="BF543" s="6"/>
      <c r="BG543" s="6"/>
      <c r="BH543" s="6"/>
      <c r="BI543" s="6"/>
      <c r="BJ543" s="6"/>
      <c r="BK543" s="6"/>
      <c r="BL543" s="6"/>
      <c r="BM543" s="6"/>
      <c r="BN543" s="6"/>
      <c r="BO543" s="6"/>
      <c r="BP543" s="6"/>
      <c r="BQ543" s="6"/>
      <c r="BR543" s="6"/>
      <c r="BS543" s="6"/>
      <c r="BT543" s="6"/>
      <c r="BU543" s="6"/>
      <c r="BV543" s="6"/>
      <c r="BW543" s="6"/>
      <c r="BX543" s="11"/>
    </row>
    <row r="544" spans="1:76" ht="15.7">
      <c r="A544" s="6"/>
      <c r="B544" s="7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  <c r="AZ544" s="6"/>
      <c r="BA544" s="6"/>
      <c r="BB544" s="6"/>
      <c r="BC544" s="6"/>
      <c r="BD544" s="6"/>
      <c r="BE544" s="6"/>
      <c r="BF544" s="6"/>
      <c r="BG544" s="6"/>
      <c r="BH544" s="6"/>
      <c r="BI544" s="6"/>
      <c r="BJ544" s="6"/>
      <c r="BK544" s="6"/>
      <c r="BL544" s="6"/>
      <c r="BM544" s="6"/>
      <c r="BN544" s="6"/>
      <c r="BO544" s="6"/>
      <c r="BP544" s="6"/>
      <c r="BQ544" s="6"/>
      <c r="BR544" s="6"/>
      <c r="BS544" s="6"/>
      <c r="BT544" s="6"/>
      <c r="BU544" s="6"/>
      <c r="BV544" s="6"/>
      <c r="BW544" s="6"/>
      <c r="BX544" s="11"/>
    </row>
    <row r="545" spans="1:76" ht="15.7">
      <c r="A545" s="6"/>
      <c r="B545" s="7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  <c r="AZ545" s="6"/>
      <c r="BA545" s="6"/>
      <c r="BB545" s="6"/>
      <c r="BC545" s="6"/>
      <c r="BD545" s="6"/>
      <c r="BE545" s="6"/>
      <c r="BF545" s="6"/>
      <c r="BG545" s="6"/>
      <c r="BH545" s="6"/>
      <c r="BI545" s="6"/>
      <c r="BJ545" s="6"/>
      <c r="BK545" s="6"/>
      <c r="BL545" s="6"/>
      <c r="BM545" s="6"/>
      <c r="BN545" s="6"/>
      <c r="BO545" s="6"/>
      <c r="BP545" s="6"/>
      <c r="BQ545" s="6"/>
      <c r="BR545" s="6"/>
      <c r="BS545" s="6"/>
      <c r="BT545" s="6"/>
      <c r="BU545" s="6"/>
      <c r="BV545" s="6"/>
      <c r="BW545" s="6"/>
      <c r="BX545" s="11"/>
    </row>
    <row r="546" spans="1:76" ht="15.7">
      <c r="A546" s="6"/>
      <c r="B546" s="7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  <c r="AZ546" s="6"/>
      <c r="BA546" s="6"/>
      <c r="BB546" s="6"/>
      <c r="BC546" s="6"/>
      <c r="BD546" s="6"/>
      <c r="BE546" s="6"/>
      <c r="BF546" s="6"/>
      <c r="BG546" s="6"/>
      <c r="BH546" s="6"/>
      <c r="BI546" s="6"/>
      <c r="BJ546" s="6"/>
      <c r="BK546" s="6"/>
      <c r="BL546" s="6"/>
      <c r="BM546" s="6"/>
      <c r="BN546" s="6"/>
      <c r="BO546" s="6"/>
      <c r="BP546" s="6"/>
      <c r="BQ546" s="6"/>
      <c r="BR546" s="6"/>
      <c r="BS546" s="6"/>
      <c r="BT546" s="6"/>
      <c r="BU546" s="6"/>
      <c r="BV546" s="6"/>
      <c r="BW546" s="6"/>
      <c r="BX546" s="11"/>
    </row>
    <row r="547" spans="1:76" ht="15.7">
      <c r="A547" s="6"/>
      <c r="B547" s="7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  <c r="AZ547" s="6"/>
      <c r="BA547" s="6"/>
      <c r="BB547" s="6"/>
      <c r="BC547" s="6"/>
      <c r="BD547" s="6"/>
      <c r="BE547" s="6"/>
      <c r="BF547" s="6"/>
      <c r="BG547" s="6"/>
      <c r="BH547" s="6"/>
      <c r="BI547" s="6"/>
      <c r="BJ547" s="6"/>
      <c r="BK547" s="6"/>
      <c r="BL547" s="6"/>
      <c r="BM547" s="6"/>
      <c r="BN547" s="6"/>
      <c r="BO547" s="6"/>
      <c r="BP547" s="6"/>
      <c r="BQ547" s="6"/>
      <c r="BR547" s="6"/>
      <c r="BS547" s="6"/>
      <c r="BT547" s="6"/>
      <c r="BU547" s="6"/>
      <c r="BV547" s="6"/>
      <c r="BW547" s="6"/>
      <c r="BX547" s="11"/>
    </row>
    <row r="548" spans="1:76" ht="15.7">
      <c r="A548" s="6"/>
      <c r="B548" s="7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  <c r="AZ548" s="6"/>
      <c r="BA548" s="6"/>
      <c r="BB548" s="6"/>
      <c r="BC548" s="6"/>
      <c r="BD548" s="6"/>
      <c r="BE548" s="6"/>
      <c r="BF548" s="6"/>
      <c r="BG548" s="6"/>
      <c r="BH548" s="6"/>
      <c r="BI548" s="6"/>
      <c r="BJ548" s="6"/>
      <c r="BK548" s="6"/>
      <c r="BL548" s="6"/>
      <c r="BM548" s="6"/>
      <c r="BN548" s="6"/>
      <c r="BO548" s="6"/>
      <c r="BP548" s="6"/>
      <c r="BQ548" s="6"/>
      <c r="BR548" s="6"/>
      <c r="BS548" s="6"/>
      <c r="BT548" s="6"/>
      <c r="BU548" s="6"/>
      <c r="BV548" s="6"/>
      <c r="BW548" s="6"/>
      <c r="BX548" s="11"/>
    </row>
    <row r="549" spans="1:76" ht="15.7">
      <c r="A549" s="6"/>
      <c r="B549" s="7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  <c r="AZ549" s="6"/>
      <c r="BA549" s="6"/>
      <c r="BB549" s="6"/>
      <c r="BC549" s="6"/>
      <c r="BD549" s="6"/>
      <c r="BE549" s="6"/>
      <c r="BF549" s="6"/>
      <c r="BG549" s="6"/>
      <c r="BH549" s="6"/>
      <c r="BI549" s="6"/>
      <c r="BJ549" s="6"/>
      <c r="BK549" s="6"/>
      <c r="BL549" s="6"/>
      <c r="BM549" s="6"/>
      <c r="BN549" s="6"/>
      <c r="BO549" s="6"/>
      <c r="BP549" s="6"/>
      <c r="BQ549" s="6"/>
      <c r="BR549" s="6"/>
      <c r="BS549" s="6"/>
      <c r="BT549" s="6"/>
      <c r="BU549" s="6"/>
      <c r="BV549" s="6"/>
      <c r="BW549" s="6"/>
      <c r="BX549" s="11"/>
    </row>
    <row r="550" spans="1:76" ht="15.7">
      <c r="A550" s="6"/>
      <c r="B550" s="7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  <c r="AZ550" s="6"/>
      <c r="BA550" s="6"/>
      <c r="BB550" s="6"/>
      <c r="BC550" s="6"/>
      <c r="BD550" s="6"/>
      <c r="BE550" s="6"/>
      <c r="BF550" s="6"/>
      <c r="BG550" s="6"/>
      <c r="BH550" s="6"/>
      <c r="BI550" s="6"/>
      <c r="BJ550" s="6"/>
      <c r="BK550" s="6"/>
      <c r="BL550" s="6"/>
      <c r="BM550" s="6"/>
      <c r="BN550" s="6"/>
      <c r="BO550" s="6"/>
      <c r="BP550" s="6"/>
      <c r="BQ550" s="6"/>
      <c r="BR550" s="6"/>
      <c r="BS550" s="6"/>
      <c r="BT550" s="6"/>
      <c r="BU550" s="6"/>
      <c r="BV550" s="6"/>
      <c r="BW550" s="6"/>
      <c r="BX550" s="11"/>
    </row>
    <row r="551" spans="1:76" ht="15.7">
      <c r="A551" s="6"/>
      <c r="B551" s="7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  <c r="AZ551" s="6"/>
      <c r="BA551" s="6"/>
      <c r="BB551" s="6"/>
      <c r="BC551" s="6"/>
      <c r="BD551" s="6"/>
      <c r="BE551" s="6"/>
      <c r="BF551" s="6"/>
      <c r="BG551" s="6"/>
      <c r="BH551" s="6"/>
      <c r="BI551" s="6"/>
      <c r="BJ551" s="6"/>
      <c r="BK551" s="6"/>
      <c r="BL551" s="6"/>
      <c r="BM551" s="6"/>
      <c r="BN551" s="6"/>
      <c r="BO551" s="6"/>
      <c r="BP551" s="6"/>
      <c r="BQ551" s="6"/>
      <c r="BR551" s="6"/>
      <c r="BS551" s="6"/>
      <c r="BT551" s="6"/>
      <c r="BU551" s="6"/>
      <c r="BV551" s="6"/>
      <c r="BW551" s="6"/>
      <c r="BX551" s="11"/>
    </row>
    <row r="552" spans="1:76" ht="15.7">
      <c r="A552" s="6"/>
      <c r="B552" s="7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  <c r="AZ552" s="6"/>
      <c r="BA552" s="6"/>
      <c r="BB552" s="6"/>
      <c r="BC552" s="6"/>
      <c r="BD552" s="6"/>
      <c r="BE552" s="6"/>
      <c r="BF552" s="6"/>
      <c r="BG552" s="6"/>
      <c r="BH552" s="6"/>
      <c r="BI552" s="6"/>
      <c r="BJ552" s="6"/>
      <c r="BK552" s="6"/>
      <c r="BL552" s="6"/>
      <c r="BM552" s="6"/>
      <c r="BN552" s="6"/>
      <c r="BO552" s="6"/>
      <c r="BP552" s="6"/>
      <c r="BQ552" s="6"/>
      <c r="BR552" s="6"/>
      <c r="BS552" s="6"/>
      <c r="BT552" s="6"/>
      <c r="BU552" s="6"/>
      <c r="BV552" s="6"/>
      <c r="BW552" s="6"/>
      <c r="BX552" s="11"/>
    </row>
    <row r="553" spans="1:76" ht="15.7">
      <c r="A553" s="6"/>
      <c r="B553" s="7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  <c r="AZ553" s="6"/>
      <c r="BA553" s="6"/>
      <c r="BB553" s="6"/>
      <c r="BC553" s="6"/>
      <c r="BD553" s="6"/>
      <c r="BE553" s="6"/>
      <c r="BF553" s="6"/>
      <c r="BG553" s="6"/>
      <c r="BH553" s="6"/>
      <c r="BI553" s="6"/>
      <c r="BJ553" s="6"/>
      <c r="BK553" s="6"/>
      <c r="BL553" s="6"/>
      <c r="BM553" s="6"/>
      <c r="BN553" s="6"/>
      <c r="BO553" s="6"/>
      <c r="BP553" s="6"/>
      <c r="BQ553" s="6"/>
      <c r="BR553" s="6"/>
      <c r="BS553" s="6"/>
      <c r="BT553" s="6"/>
      <c r="BU553" s="6"/>
      <c r="BV553" s="6"/>
      <c r="BW553" s="6"/>
      <c r="BX553" s="11"/>
    </row>
    <row r="554" spans="1:76" ht="15.7">
      <c r="A554" s="6"/>
      <c r="B554" s="7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  <c r="AZ554" s="6"/>
      <c r="BA554" s="6"/>
      <c r="BB554" s="6"/>
      <c r="BC554" s="6"/>
      <c r="BD554" s="6"/>
      <c r="BE554" s="6"/>
      <c r="BF554" s="6"/>
      <c r="BG554" s="6"/>
      <c r="BH554" s="6"/>
      <c r="BI554" s="6"/>
      <c r="BJ554" s="6"/>
      <c r="BK554" s="6"/>
      <c r="BL554" s="6"/>
      <c r="BM554" s="6"/>
      <c r="BN554" s="6"/>
      <c r="BO554" s="6"/>
      <c r="BP554" s="6"/>
      <c r="BQ554" s="6"/>
      <c r="BR554" s="6"/>
      <c r="BS554" s="6"/>
      <c r="BT554" s="6"/>
      <c r="BU554" s="6"/>
      <c r="BV554" s="6"/>
      <c r="BW554" s="6"/>
      <c r="BX554" s="11"/>
    </row>
    <row r="555" spans="1:76" ht="15.7">
      <c r="A555" s="6"/>
      <c r="B555" s="7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  <c r="AZ555" s="6"/>
      <c r="BA555" s="6"/>
      <c r="BB555" s="6"/>
      <c r="BC555" s="6"/>
      <c r="BD555" s="6"/>
      <c r="BE555" s="6"/>
      <c r="BF555" s="6"/>
      <c r="BG555" s="6"/>
      <c r="BH555" s="6"/>
      <c r="BI555" s="6"/>
      <c r="BJ555" s="6"/>
      <c r="BK555" s="6"/>
      <c r="BL555" s="6"/>
      <c r="BM555" s="6"/>
      <c r="BN555" s="6"/>
      <c r="BO555" s="6"/>
      <c r="BP555" s="6"/>
      <c r="BQ555" s="6"/>
      <c r="BR555" s="6"/>
      <c r="BS555" s="6"/>
      <c r="BT555" s="6"/>
      <c r="BU555" s="6"/>
      <c r="BV555" s="6"/>
      <c r="BW555" s="6"/>
      <c r="BX555" s="11"/>
    </row>
    <row r="556" spans="1:76" ht="15.7">
      <c r="A556" s="6"/>
      <c r="B556" s="7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  <c r="AZ556" s="6"/>
      <c r="BA556" s="6"/>
      <c r="BB556" s="6"/>
      <c r="BC556" s="6"/>
      <c r="BD556" s="6"/>
      <c r="BE556" s="6"/>
      <c r="BF556" s="6"/>
      <c r="BG556" s="6"/>
      <c r="BH556" s="6"/>
      <c r="BI556" s="6"/>
      <c r="BJ556" s="6"/>
      <c r="BK556" s="6"/>
      <c r="BL556" s="6"/>
      <c r="BM556" s="6"/>
      <c r="BN556" s="6"/>
      <c r="BO556" s="6"/>
      <c r="BP556" s="6"/>
      <c r="BQ556" s="6"/>
      <c r="BR556" s="6"/>
      <c r="BS556" s="6"/>
      <c r="BT556" s="6"/>
      <c r="BU556" s="6"/>
      <c r="BV556" s="6"/>
      <c r="BW556" s="6"/>
      <c r="BX556" s="11"/>
    </row>
    <row r="557" spans="1:76" ht="15.7">
      <c r="A557" s="6"/>
      <c r="B557" s="7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  <c r="AZ557" s="6"/>
      <c r="BA557" s="6"/>
      <c r="BB557" s="6"/>
      <c r="BC557" s="6"/>
      <c r="BD557" s="6"/>
      <c r="BE557" s="6"/>
      <c r="BF557" s="6"/>
      <c r="BG557" s="6"/>
      <c r="BH557" s="6"/>
      <c r="BI557" s="6"/>
      <c r="BJ557" s="6"/>
      <c r="BK557" s="6"/>
      <c r="BL557" s="6"/>
      <c r="BM557" s="6"/>
      <c r="BN557" s="6"/>
      <c r="BO557" s="6"/>
      <c r="BP557" s="6"/>
      <c r="BQ557" s="6"/>
      <c r="BR557" s="6"/>
      <c r="BS557" s="6"/>
      <c r="BT557" s="6"/>
      <c r="BU557" s="6"/>
      <c r="BV557" s="6"/>
      <c r="BW557" s="6"/>
      <c r="BX557" s="11"/>
    </row>
    <row r="558" spans="1:76" ht="15.7">
      <c r="A558" s="6"/>
      <c r="B558" s="7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  <c r="AZ558" s="6"/>
      <c r="BA558" s="6"/>
      <c r="BB558" s="6"/>
      <c r="BC558" s="6"/>
      <c r="BD558" s="6"/>
      <c r="BE558" s="6"/>
      <c r="BF558" s="6"/>
      <c r="BG558" s="6"/>
      <c r="BH558" s="6"/>
      <c r="BI558" s="6"/>
      <c r="BJ558" s="6"/>
      <c r="BK558" s="6"/>
      <c r="BL558" s="6"/>
      <c r="BM558" s="6"/>
      <c r="BN558" s="6"/>
      <c r="BO558" s="6"/>
      <c r="BP558" s="6"/>
      <c r="BQ558" s="6"/>
      <c r="BR558" s="6"/>
      <c r="BS558" s="6"/>
      <c r="BT558" s="6"/>
      <c r="BU558" s="6"/>
      <c r="BV558" s="6"/>
      <c r="BW558" s="6"/>
      <c r="BX558" s="11"/>
    </row>
    <row r="559" spans="1:76" ht="15.7">
      <c r="A559" s="6"/>
      <c r="B559" s="7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  <c r="AZ559" s="6"/>
      <c r="BA559" s="6"/>
      <c r="BB559" s="6"/>
      <c r="BC559" s="6"/>
      <c r="BD559" s="6"/>
      <c r="BE559" s="6"/>
      <c r="BF559" s="6"/>
      <c r="BG559" s="6"/>
      <c r="BH559" s="6"/>
      <c r="BI559" s="6"/>
      <c r="BJ559" s="6"/>
      <c r="BK559" s="6"/>
      <c r="BL559" s="6"/>
      <c r="BM559" s="6"/>
      <c r="BN559" s="6"/>
      <c r="BO559" s="6"/>
      <c r="BP559" s="6"/>
      <c r="BQ559" s="6"/>
      <c r="BR559" s="6"/>
      <c r="BS559" s="6"/>
      <c r="BT559" s="6"/>
      <c r="BU559" s="6"/>
      <c r="BV559" s="6"/>
      <c r="BW559" s="6"/>
      <c r="BX559" s="11"/>
    </row>
    <row r="560" spans="1:76" ht="15.7">
      <c r="A560" s="6"/>
      <c r="B560" s="7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  <c r="AZ560" s="6"/>
      <c r="BA560" s="6"/>
      <c r="BB560" s="6"/>
      <c r="BC560" s="6"/>
      <c r="BD560" s="6"/>
      <c r="BE560" s="6"/>
      <c r="BF560" s="6"/>
      <c r="BG560" s="6"/>
      <c r="BH560" s="6"/>
      <c r="BI560" s="6"/>
      <c r="BJ560" s="6"/>
      <c r="BK560" s="6"/>
      <c r="BL560" s="6"/>
      <c r="BM560" s="6"/>
      <c r="BN560" s="6"/>
      <c r="BO560" s="6"/>
      <c r="BP560" s="6"/>
      <c r="BQ560" s="6"/>
      <c r="BR560" s="6"/>
      <c r="BS560" s="6"/>
      <c r="BT560" s="6"/>
      <c r="BU560" s="6"/>
      <c r="BV560" s="6"/>
      <c r="BW560" s="6"/>
      <c r="BX560" s="11"/>
    </row>
    <row r="561" spans="1:76" ht="15.7">
      <c r="A561" s="6"/>
      <c r="B561" s="7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  <c r="AZ561" s="6"/>
      <c r="BA561" s="6"/>
      <c r="BB561" s="6"/>
      <c r="BC561" s="6"/>
      <c r="BD561" s="6"/>
      <c r="BE561" s="6"/>
      <c r="BF561" s="6"/>
      <c r="BG561" s="6"/>
      <c r="BH561" s="6"/>
      <c r="BI561" s="6"/>
      <c r="BJ561" s="6"/>
      <c r="BK561" s="6"/>
      <c r="BL561" s="6"/>
      <c r="BM561" s="6"/>
      <c r="BN561" s="6"/>
      <c r="BO561" s="6"/>
      <c r="BP561" s="6"/>
      <c r="BQ561" s="6"/>
      <c r="BR561" s="6"/>
      <c r="BS561" s="6"/>
      <c r="BT561" s="6"/>
      <c r="BU561" s="6"/>
      <c r="BV561" s="6"/>
      <c r="BW561" s="6"/>
      <c r="BX561" s="11"/>
    </row>
    <row r="562" spans="1:76" ht="15.7">
      <c r="A562" s="6"/>
      <c r="B562" s="7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  <c r="AZ562" s="6"/>
      <c r="BA562" s="6"/>
      <c r="BB562" s="6"/>
      <c r="BC562" s="6"/>
      <c r="BD562" s="6"/>
      <c r="BE562" s="6"/>
      <c r="BF562" s="6"/>
      <c r="BG562" s="6"/>
      <c r="BH562" s="6"/>
      <c r="BI562" s="6"/>
      <c r="BJ562" s="6"/>
      <c r="BK562" s="6"/>
      <c r="BL562" s="6"/>
      <c r="BM562" s="6"/>
      <c r="BN562" s="6"/>
      <c r="BO562" s="6"/>
      <c r="BP562" s="6"/>
      <c r="BQ562" s="6"/>
      <c r="BR562" s="6"/>
      <c r="BS562" s="6"/>
      <c r="BT562" s="6"/>
      <c r="BU562" s="6"/>
      <c r="BV562" s="6"/>
      <c r="BW562" s="6"/>
      <c r="BX562" s="11"/>
    </row>
    <row r="563" spans="1:76" ht="15.7">
      <c r="A563" s="6"/>
      <c r="B563" s="7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  <c r="AZ563" s="6"/>
      <c r="BA563" s="6"/>
      <c r="BB563" s="6"/>
      <c r="BC563" s="6"/>
      <c r="BD563" s="6"/>
      <c r="BE563" s="6"/>
      <c r="BF563" s="6"/>
      <c r="BG563" s="6"/>
      <c r="BH563" s="6"/>
      <c r="BI563" s="6"/>
      <c r="BJ563" s="6"/>
      <c r="BK563" s="6"/>
      <c r="BL563" s="6"/>
      <c r="BM563" s="6"/>
      <c r="BN563" s="6"/>
      <c r="BO563" s="6"/>
      <c r="BP563" s="6"/>
      <c r="BQ563" s="6"/>
      <c r="BR563" s="6"/>
      <c r="BS563" s="6"/>
      <c r="BT563" s="6"/>
      <c r="BU563" s="6"/>
      <c r="BV563" s="6"/>
      <c r="BW563" s="6"/>
      <c r="BX563" s="11"/>
    </row>
    <row r="564" spans="1:76" ht="15.7">
      <c r="A564" s="6"/>
      <c r="B564" s="7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  <c r="AZ564" s="6"/>
      <c r="BA564" s="6"/>
      <c r="BB564" s="6"/>
      <c r="BC564" s="6"/>
      <c r="BD564" s="6"/>
      <c r="BE564" s="6"/>
      <c r="BF564" s="6"/>
      <c r="BG564" s="6"/>
      <c r="BH564" s="6"/>
      <c r="BI564" s="6"/>
      <c r="BJ564" s="6"/>
      <c r="BK564" s="6"/>
      <c r="BL564" s="6"/>
      <c r="BM564" s="6"/>
      <c r="BN564" s="6"/>
      <c r="BO564" s="6"/>
      <c r="BP564" s="6"/>
      <c r="BQ564" s="6"/>
      <c r="BR564" s="6"/>
      <c r="BS564" s="6"/>
      <c r="BT564" s="6"/>
      <c r="BU564" s="6"/>
      <c r="BV564" s="6"/>
      <c r="BW564" s="6"/>
      <c r="BX564" s="11"/>
    </row>
    <row r="565" spans="1:76" ht="15.7">
      <c r="A565" s="6"/>
      <c r="B565" s="7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  <c r="AZ565" s="6"/>
      <c r="BA565" s="6"/>
      <c r="BB565" s="6"/>
      <c r="BC565" s="6"/>
      <c r="BD565" s="6"/>
      <c r="BE565" s="6"/>
      <c r="BF565" s="6"/>
      <c r="BG565" s="6"/>
      <c r="BH565" s="6"/>
      <c r="BI565" s="6"/>
      <c r="BJ565" s="6"/>
      <c r="BK565" s="6"/>
      <c r="BL565" s="6"/>
      <c r="BM565" s="6"/>
      <c r="BN565" s="6"/>
      <c r="BO565" s="6"/>
      <c r="BP565" s="6"/>
      <c r="BQ565" s="6"/>
      <c r="BR565" s="6"/>
      <c r="BS565" s="6"/>
      <c r="BT565" s="6"/>
      <c r="BU565" s="6"/>
      <c r="BV565" s="6"/>
      <c r="BW565" s="6"/>
      <c r="BX565" s="11"/>
    </row>
    <row r="566" spans="1:76" ht="15.7">
      <c r="A566" s="6"/>
      <c r="B566" s="7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  <c r="AZ566" s="6"/>
      <c r="BA566" s="6"/>
      <c r="BB566" s="6"/>
      <c r="BC566" s="6"/>
      <c r="BD566" s="6"/>
      <c r="BE566" s="6"/>
      <c r="BF566" s="6"/>
      <c r="BG566" s="6"/>
      <c r="BH566" s="6"/>
      <c r="BI566" s="6"/>
      <c r="BJ566" s="6"/>
      <c r="BK566" s="6"/>
      <c r="BL566" s="6"/>
      <c r="BM566" s="6"/>
      <c r="BN566" s="6"/>
      <c r="BO566" s="6"/>
      <c r="BP566" s="6"/>
      <c r="BQ566" s="6"/>
      <c r="BR566" s="6"/>
      <c r="BS566" s="6"/>
      <c r="BT566" s="6"/>
      <c r="BU566" s="6"/>
      <c r="BV566" s="6"/>
      <c r="BW566" s="6"/>
      <c r="BX566" s="11"/>
    </row>
    <row r="567" spans="1:76" ht="15.7">
      <c r="A567" s="6"/>
      <c r="B567" s="7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  <c r="AZ567" s="6"/>
      <c r="BA567" s="6"/>
      <c r="BB567" s="6"/>
      <c r="BC567" s="6"/>
      <c r="BD567" s="6"/>
      <c r="BE567" s="6"/>
      <c r="BF567" s="6"/>
      <c r="BG567" s="6"/>
      <c r="BH567" s="6"/>
      <c r="BI567" s="6"/>
      <c r="BJ567" s="6"/>
      <c r="BK567" s="6"/>
      <c r="BL567" s="6"/>
      <c r="BM567" s="6"/>
      <c r="BN567" s="6"/>
      <c r="BO567" s="6"/>
      <c r="BP567" s="6"/>
      <c r="BQ567" s="6"/>
      <c r="BR567" s="6"/>
      <c r="BS567" s="6"/>
      <c r="BT567" s="6"/>
      <c r="BU567" s="6"/>
      <c r="BV567" s="6"/>
      <c r="BW567" s="6"/>
      <c r="BX567" s="11"/>
    </row>
    <row r="568" spans="1:76" ht="15.7">
      <c r="A568" s="6"/>
      <c r="B568" s="7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  <c r="AZ568" s="6"/>
      <c r="BA568" s="6"/>
      <c r="BB568" s="6"/>
      <c r="BC568" s="6"/>
      <c r="BD568" s="6"/>
      <c r="BE568" s="6"/>
      <c r="BF568" s="6"/>
      <c r="BG568" s="6"/>
      <c r="BH568" s="6"/>
      <c r="BI568" s="6"/>
      <c r="BJ568" s="6"/>
      <c r="BK568" s="6"/>
      <c r="BL568" s="6"/>
      <c r="BM568" s="6"/>
      <c r="BN568" s="6"/>
      <c r="BO568" s="6"/>
      <c r="BP568" s="6"/>
      <c r="BQ568" s="6"/>
      <c r="BR568" s="6"/>
      <c r="BS568" s="6"/>
      <c r="BT568" s="6"/>
      <c r="BU568" s="6"/>
      <c r="BV568" s="6"/>
      <c r="BW568" s="6"/>
      <c r="BX568" s="11"/>
    </row>
    <row r="569" spans="1:76" ht="15.7">
      <c r="A569" s="6"/>
      <c r="B569" s="7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  <c r="AZ569" s="6"/>
      <c r="BA569" s="6"/>
      <c r="BB569" s="6"/>
      <c r="BC569" s="6"/>
      <c r="BD569" s="6"/>
      <c r="BE569" s="6"/>
      <c r="BF569" s="6"/>
      <c r="BG569" s="6"/>
      <c r="BH569" s="6"/>
      <c r="BI569" s="6"/>
      <c r="BJ569" s="6"/>
      <c r="BK569" s="6"/>
      <c r="BL569" s="6"/>
      <c r="BM569" s="6"/>
      <c r="BN569" s="6"/>
      <c r="BO569" s="6"/>
      <c r="BP569" s="6"/>
      <c r="BQ569" s="6"/>
      <c r="BR569" s="6"/>
      <c r="BS569" s="6"/>
      <c r="BT569" s="6"/>
      <c r="BU569" s="6"/>
      <c r="BV569" s="6"/>
      <c r="BW569" s="6"/>
      <c r="BX569" s="11"/>
    </row>
    <row r="570" spans="1:76" ht="15.7">
      <c r="A570" s="6"/>
      <c r="B570" s="7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  <c r="AZ570" s="6"/>
      <c r="BA570" s="6"/>
      <c r="BB570" s="6"/>
      <c r="BC570" s="6"/>
      <c r="BD570" s="6"/>
      <c r="BE570" s="6"/>
      <c r="BF570" s="6"/>
      <c r="BG570" s="6"/>
      <c r="BH570" s="6"/>
      <c r="BI570" s="6"/>
      <c r="BJ570" s="6"/>
      <c r="BK570" s="6"/>
      <c r="BL570" s="6"/>
      <c r="BM570" s="6"/>
      <c r="BN570" s="6"/>
      <c r="BO570" s="6"/>
      <c r="BP570" s="6"/>
      <c r="BQ570" s="6"/>
      <c r="BR570" s="6"/>
      <c r="BS570" s="6"/>
      <c r="BT570" s="6"/>
      <c r="BU570" s="6"/>
      <c r="BV570" s="6"/>
      <c r="BW570" s="6"/>
      <c r="BX570" s="11"/>
    </row>
    <row r="571" spans="1:76" ht="15.7">
      <c r="A571" s="6"/>
      <c r="B571" s="7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  <c r="AZ571" s="6"/>
      <c r="BA571" s="6"/>
      <c r="BB571" s="6"/>
      <c r="BC571" s="6"/>
      <c r="BD571" s="6"/>
      <c r="BE571" s="6"/>
      <c r="BF571" s="6"/>
      <c r="BG571" s="6"/>
      <c r="BH571" s="6"/>
      <c r="BI571" s="6"/>
      <c r="BJ571" s="6"/>
      <c r="BK571" s="6"/>
      <c r="BL571" s="6"/>
      <c r="BM571" s="6"/>
      <c r="BN571" s="6"/>
      <c r="BO571" s="6"/>
      <c r="BP571" s="6"/>
      <c r="BQ571" s="6"/>
      <c r="BR571" s="6"/>
      <c r="BS571" s="6"/>
      <c r="BT571" s="6"/>
      <c r="BU571" s="6"/>
      <c r="BV571" s="6"/>
      <c r="BW571" s="6"/>
      <c r="BX571" s="11"/>
    </row>
    <row r="572" spans="1:76" ht="15.7">
      <c r="A572" s="6"/>
      <c r="B572" s="7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  <c r="AZ572" s="6"/>
      <c r="BA572" s="6"/>
      <c r="BB572" s="6"/>
      <c r="BC572" s="6"/>
      <c r="BD572" s="6"/>
      <c r="BE572" s="6"/>
      <c r="BF572" s="6"/>
      <c r="BG572" s="6"/>
      <c r="BH572" s="6"/>
      <c r="BI572" s="6"/>
      <c r="BJ572" s="6"/>
      <c r="BK572" s="6"/>
      <c r="BL572" s="6"/>
      <c r="BM572" s="6"/>
      <c r="BN572" s="6"/>
      <c r="BO572" s="6"/>
      <c r="BP572" s="6"/>
      <c r="BQ572" s="6"/>
      <c r="BR572" s="6"/>
      <c r="BS572" s="6"/>
      <c r="BT572" s="6"/>
      <c r="BU572" s="6"/>
      <c r="BV572" s="6"/>
      <c r="BW572" s="6"/>
      <c r="BX572" s="11"/>
    </row>
    <row r="573" spans="1:76" ht="15.7">
      <c r="A573" s="6"/>
      <c r="B573" s="7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  <c r="AZ573" s="6"/>
      <c r="BA573" s="6"/>
      <c r="BB573" s="6"/>
      <c r="BC573" s="6"/>
      <c r="BD573" s="6"/>
      <c r="BE573" s="6"/>
      <c r="BF573" s="6"/>
      <c r="BG573" s="6"/>
      <c r="BH573" s="6"/>
      <c r="BI573" s="6"/>
      <c r="BJ573" s="6"/>
      <c r="BK573" s="6"/>
      <c r="BL573" s="6"/>
      <c r="BM573" s="6"/>
      <c r="BN573" s="6"/>
      <c r="BO573" s="6"/>
      <c r="BP573" s="6"/>
      <c r="BQ573" s="6"/>
      <c r="BR573" s="6"/>
      <c r="BS573" s="6"/>
      <c r="BT573" s="6"/>
      <c r="BU573" s="6"/>
      <c r="BV573" s="6"/>
      <c r="BW573" s="6"/>
      <c r="BX573" s="11"/>
    </row>
    <row r="574" spans="1:76" ht="15.7">
      <c r="A574" s="6"/>
      <c r="B574" s="7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  <c r="AZ574" s="6"/>
      <c r="BA574" s="6"/>
      <c r="BB574" s="6"/>
      <c r="BC574" s="6"/>
      <c r="BD574" s="6"/>
      <c r="BE574" s="6"/>
      <c r="BF574" s="6"/>
      <c r="BG574" s="6"/>
      <c r="BH574" s="6"/>
      <c r="BI574" s="6"/>
      <c r="BJ574" s="6"/>
      <c r="BK574" s="6"/>
      <c r="BL574" s="6"/>
      <c r="BM574" s="6"/>
      <c r="BN574" s="6"/>
      <c r="BO574" s="6"/>
      <c r="BP574" s="6"/>
      <c r="BQ574" s="6"/>
      <c r="BR574" s="6"/>
      <c r="BS574" s="6"/>
      <c r="BT574" s="6"/>
      <c r="BU574" s="6"/>
      <c r="BV574" s="6"/>
      <c r="BW574" s="6"/>
      <c r="BX574" s="11"/>
    </row>
    <row r="575" spans="1:76" ht="15.7">
      <c r="A575" s="6"/>
      <c r="B575" s="7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  <c r="AZ575" s="6"/>
      <c r="BA575" s="6"/>
      <c r="BB575" s="6"/>
      <c r="BC575" s="6"/>
      <c r="BD575" s="6"/>
      <c r="BE575" s="6"/>
      <c r="BF575" s="6"/>
      <c r="BG575" s="6"/>
      <c r="BH575" s="6"/>
      <c r="BI575" s="6"/>
      <c r="BJ575" s="6"/>
      <c r="BK575" s="6"/>
      <c r="BL575" s="6"/>
      <c r="BM575" s="6"/>
      <c r="BN575" s="6"/>
      <c r="BO575" s="6"/>
      <c r="BP575" s="6"/>
      <c r="BQ575" s="6"/>
      <c r="BR575" s="6"/>
      <c r="BS575" s="6"/>
      <c r="BT575" s="6"/>
      <c r="BU575" s="6"/>
      <c r="BV575" s="6"/>
      <c r="BW575" s="6"/>
      <c r="BX575" s="11"/>
    </row>
    <row r="576" spans="1:76" ht="15.7">
      <c r="A576" s="6"/>
      <c r="B576" s="7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  <c r="AZ576" s="6"/>
      <c r="BA576" s="6"/>
      <c r="BB576" s="6"/>
      <c r="BC576" s="6"/>
      <c r="BD576" s="6"/>
      <c r="BE576" s="6"/>
      <c r="BF576" s="6"/>
      <c r="BG576" s="6"/>
      <c r="BH576" s="6"/>
      <c r="BI576" s="6"/>
      <c r="BJ576" s="6"/>
      <c r="BK576" s="6"/>
      <c r="BL576" s="6"/>
      <c r="BM576" s="6"/>
      <c r="BN576" s="6"/>
      <c r="BO576" s="6"/>
      <c r="BP576" s="6"/>
      <c r="BQ576" s="6"/>
      <c r="BR576" s="6"/>
      <c r="BS576" s="6"/>
      <c r="BT576" s="6"/>
      <c r="BU576" s="6"/>
      <c r="BV576" s="6"/>
      <c r="BW576" s="6"/>
      <c r="BX576" s="11"/>
    </row>
    <row r="577" spans="1:76" ht="15.7">
      <c r="A577" s="6"/>
      <c r="B577" s="7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  <c r="AZ577" s="6"/>
      <c r="BA577" s="6"/>
      <c r="BB577" s="6"/>
      <c r="BC577" s="6"/>
      <c r="BD577" s="6"/>
      <c r="BE577" s="6"/>
      <c r="BF577" s="6"/>
      <c r="BG577" s="6"/>
      <c r="BH577" s="6"/>
      <c r="BI577" s="6"/>
      <c r="BJ577" s="6"/>
      <c r="BK577" s="6"/>
      <c r="BL577" s="6"/>
      <c r="BM577" s="6"/>
      <c r="BN577" s="6"/>
      <c r="BO577" s="6"/>
      <c r="BP577" s="6"/>
      <c r="BQ577" s="6"/>
      <c r="BR577" s="6"/>
      <c r="BS577" s="6"/>
      <c r="BT577" s="6"/>
      <c r="BU577" s="6"/>
      <c r="BV577" s="6"/>
      <c r="BW577" s="6"/>
      <c r="BX577" s="11"/>
    </row>
    <row r="578" spans="1:76" ht="15.7">
      <c r="A578" s="6"/>
      <c r="B578" s="7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  <c r="AZ578" s="6"/>
      <c r="BA578" s="6"/>
      <c r="BB578" s="6"/>
      <c r="BC578" s="6"/>
      <c r="BD578" s="6"/>
      <c r="BE578" s="6"/>
      <c r="BF578" s="6"/>
      <c r="BG578" s="6"/>
      <c r="BH578" s="6"/>
      <c r="BI578" s="6"/>
      <c r="BJ578" s="6"/>
      <c r="BK578" s="6"/>
      <c r="BL578" s="6"/>
      <c r="BM578" s="6"/>
      <c r="BN578" s="6"/>
      <c r="BO578" s="6"/>
      <c r="BP578" s="6"/>
      <c r="BQ578" s="6"/>
      <c r="BR578" s="6"/>
      <c r="BS578" s="6"/>
      <c r="BT578" s="6"/>
      <c r="BU578" s="6"/>
      <c r="BV578" s="6"/>
      <c r="BW578" s="6"/>
      <c r="BX578" s="11"/>
    </row>
    <row r="579" spans="1:76" ht="15.7">
      <c r="A579" s="6"/>
      <c r="B579" s="7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  <c r="AZ579" s="6"/>
      <c r="BA579" s="6"/>
      <c r="BB579" s="6"/>
      <c r="BC579" s="6"/>
      <c r="BD579" s="6"/>
      <c r="BE579" s="6"/>
      <c r="BF579" s="6"/>
      <c r="BG579" s="6"/>
      <c r="BH579" s="6"/>
      <c r="BI579" s="6"/>
      <c r="BJ579" s="6"/>
      <c r="BK579" s="6"/>
      <c r="BL579" s="6"/>
      <c r="BM579" s="6"/>
      <c r="BN579" s="6"/>
      <c r="BO579" s="6"/>
      <c r="BP579" s="6"/>
      <c r="BQ579" s="6"/>
      <c r="BR579" s="6"/>
      <c r="BS579" s="6"/>
      <c r="BT579" s="6"/>
      <c r="BU579" s="6"/>
      <c r="BV579" s="6"/>
      <c r="BW579" s="6"/>
      <c r="BX579" s="11"/>
    </row>
    <row r="580" spans="1:76" ht="15.7">
      <c r="A580" s="6"/>
      <c r="B580" s="7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  <c r="AZ580" s="6"/>
      <c r="BA580" s="6"/>
      <c r="BB580" s="6"/>
      <c r="BC580" s="6"/>
      <c r="BD580" s="6"/>
      <c r="BE580" s="6"/>
      <c r="BF580" s="6"/>
      <c r="BG580" s="6"/>
      <c r="BH580" s="6"/>
      <c r="BI580" s="6"/>
      <c r="BJ580" s="6"/>
      <c r="BK580" s="6"/>
      <c r="BL580" s="6"/>
      <c r="BM580" s="6"/>
      <c r="BN580" s="6"/>
      <c r="BO580" s="6"/>
      <c r="BP580" s="6"/>
      <c r="BQ580" s="6"/>
      <c r="BR580" s="6"/>
      <c r="BS580" s="6"/>
      <c r="BT580" s="6"/>
      <c r="BU580" s="6"/>
      <c r="BV580" s="6"/>
      <c r="BW580" s="6"/>
      <c r="BX580" s="11"/>
    </row>
    <row r="581" spans="1:76" ht="15.7">
      <c r="A581" s="6"/>
      <c r="B581" s="7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  <c r="AZ581" s="6"/>
      <c r="BA581" s="6"/>
      <c r="BB581" s="6"/>
      <c r="BC581" s="6"/>
      <c r="BD581" s="6"/>
      <c r="BE581" s="6"/>
      <c r="BF581" s="6"/>
      <c r="BG581" s="6"/>
      <c r="BH581" s="6"/>
      <c r="BI581" s="6"/>
      <c r="BJ581" s="6"/>
      <c r="BK581" s="6"/>
      <c r="BL581" s="6"/>
      <c r="BM581" s="6"/>
      <c r="BN581" s="6"/>
      <c r="BO581" s="6"/>
      <c r="BP581" s="6"/>
      <c r="BQ581" s="6"/>
      <c r="BR581" s="6"/>
      <c r="BS581" s="6"/>
      <c r="BT581" s="6"/>
      <c r="BU581" s="6"/>
      <c r="BV581" s="6"/>
      <c r="BW581" s="6"/>
      <c r="BX581" s="11"/>
    </row>
    <row r="582" spans="1:76" ht="15.7">
      <c r="A582" s="6"/>
      <c r="B582" s="7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  <c r="AZ582" s="6"/>
      <c r="BA582" s="6"/>
      <c r="BB582" s="6"/>
      <c r="BC582" s="6"/>
      <c r="BD582" s="6"/>
      <c r="BE582" s="6"/>
      <c r="BF582" s="6"/>
      <c r="BG582" s="6"/>
      <c r="BH582" s="6"/>
      <c r="BI582" s="6"/>
      <c r="BJ582" s="6"/>
      <c r="BK582" s="6"/>
      <c r="BL582" s="6"/>
      <c r="BM582" s="6"/>
      <c r="BN582" s="6"/>
      <c r="BO582" s="6"/>
      <c r="BP582" s="6"/>
      <c r="BQ582" s="6"/>
      <c r="BR582" s="6"/>
      <c r="BS582" s="6"/>
      <c r="BT582" s="6"/>
      <c r="BU582" s="6"/>
      <c r="BV582" s="6"/>
      <c r="BW582" s="6"/>
      <c r="BX582" s="11"/>
    </row>
    <row r="583" spans="1:76" ht="15.7">
      <c r="A583" s="6"/>
      <c r="B583" s="7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  <c r="AZ583" s="6"/>
      <c r="BA583" s="6"/>
      <c r="BB583" s="6"/>
      <c r="BC583" s="6"/>
      <c r="BD583" s="6"/>
      <c r="BE583" s="6"/>
      <c r="BF583" s="6"/>
      <c r="BG583" s="6"/>
      <c r="BH583" s="6"/>
      <c r="BI583" s="6"/>
      <c r="BJ583" s="6"/>
      <c r="BK583" s="6"/>
      <c r="BL583" s="6"/>
      <c r="BM583" s="6"/>
      <c r="BN583" s="6"/>
      <c r="BO583" s="6"/>
      <c r="BP583" s="6"/>
      <c r="BQ583" s="6"/>
      <c r="BR583" s="6"/>
      <c r="BS583" s="6"/>
      <c r="BT583" s="6"/>
      <c r="BU583" s="6"/>
      <c r="BV583" s="6"/>
      <c r="BW583" s="6"/>
      <c r="BX583" s="11"/>
    </row>
    <row r="584" spans="1:76" ht="15.7">
      <c r="A584" s="6"/>
      <c r="B584" s="7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  <c r="AZ584" s="6"/>
      <c r="BA584" s="6"/>
      <c r="BB584" s="6"/>
      <c r="BC584" s="6"/>
      <c r="BD584" s="6"/>
      <c r="BE584" s="6"/>
      <c r="BF584" s="6"/>
      <c r="BG584" s="6"/>
      <c r="BH584" s="6"/>
      <c r="BI584" s="6"/>
      <c r="BJ584" s="6"/>
      <c r="BK584" s="6"/>
      <c r="BL584" s="6"/>
      <c r="BM584" s="6"/>
      <c r="BN584" s="6"/>
      <c r="BO584" s="6"/>
      <c r="BP584" s="6"/>
      <c r="BQ584" s="6"/>
      <c r="BR584" s="6"/>
      <c r="BS584" s="6"/>
      <c r="BT584" s="6"/>
      <c r="BU584" s="6"/>
      <c r="BV584" s="6"/>
      <c r="BW584" s="6"/>
      <c r="BX584" s="11"/>
    </row>
    <row r="585" spans="1:76" ht="15.7">
      <c r="A585" s="6"/>
      <c r="B585" s="7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  <c r="AZ585" s="6"/>
      <c r="BA585" s="6"/>
      <c r="BB585" s="6"/>
      <c r="BC585" s="6"/>
      <c r="BD585" s="6"/>
      <c r="BE585" s="6"/>
      <c r="BF585" s="6"/>
      <c r="BG585" s="6"/>
      <c r="BH585" s="6"/>
      <c r="BI585" s="6"/>
      <c r="BJ585" s="6"/>
      <c r="BK585" s="6"/>
      <c r="BL585" s="6"/>
      <c r="BM585" s="6"/>
      <c r="BN585" s="6"/>
      <c r="BO585" s="6"/>
      <c r="BP585" s="6"/>
      <c r="BQ585" s="6"/>
      <c r="BR585" s="6"/>
      <c r="BS585" s="6"/>
      <c r="BT585" s="6"/>
      <c r="BU585" s="6"/>
      <c r="BV585" s="6"/>
      <c r="BW585" s="6"/>
      <c r="BX585" s="11"/>
    </row>
    <row r="586" spans="1:76" ht="15.7">
      <c r="A586" s="6"/>
      <c r="B586" s="7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  <c r="AZ586" s="6"/>
      <c r="BA586" s="6"/>
      <c r="BB586" s="6"/>
      <c r="BC586" s="6"/>
      <c r="BD586" s="6"/>
      <c r="BE586" s="6"/>
      <c r="BF586" s="6"/>
      <c r="BG586" s="6"/>
      <c r="BH586" s="6"/>
      <c r="BI586" s="6"/>
      <c r="BJ586" s="6"/>
      <c r="BK586" s="6"/>
      <c r="BL586" s="6"/>
      <c r="BM586" s="6"/>
      <c r="BN586" s="6"/>
      <c r="BO586" s="6"/>
      <c r="BP586" s="6"/>
      <c r="BQ586" s="6"/>
      <c r="BR586" s="6"/>
      <c r="BS586" s="6"/>
      <c r="BT586" s="6"/>
      <c r="BU586" s="6"/>
      <c r="BV586" s="6"/>
      <c r="BW586" s="6"/>
      <c r="BX586" s="11"/>
    </row>
    <row r="587" spans="1:76" ht="15.7">
      <c r="A587" s="6"/>
      <c r="B587" s="7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  <c r="AZ587" s="6"/>
      <c r="BA587" s="6"/>
      <c r="BB587" s="6"/>
      <c r="BC587" s="6"/>
      <c r="BD587" s="6"/>
      <c r="BE587" s="6"/>
      <c r="BF587" s="6"/>
      <c r="BG587" s="6"/>
      <c r="BH587" s="6"/>
      <c r="BI587" s="6"/>
      <c r="BJ587" s="6"/>
      <c r="BK587" s="6"/>
      <c r="BL587" s="6"/>
      <c r="BM587" s="6"/>
      <c r="BN587" s="6"/>
      <c r="BO587" s="6"/>
      <c r="BP587" s="6"/>
      <c r="BQ587" s="6"/>
      <c r="BR587" s="6"/>
      <c r="BS587" s="6"/>
      <c r="BT587" s="6"/>
      <c r="BU587" s="6"/>
      <c r="BV587" s="6"/>
      <c r="BW587" s="6"/>
      <c r="BX587" s="11"/>
    </row>
    <row r="588" spans="1:76" ht="15.7">
      <c r="A588" s="6"/>
      <c r="B588" s="7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  <c r="AZ588" s="6"/>
      <c r="BA588" s="6"/>
      <c r="BB588" s="6"/>
      <c r="BC588" s="6"/>
      <c r="BD588" s="6"/>
      <c r="BE588" s="6"/>
      <c r="BF588" s="6"/>
      <c r="BG588" s="6"/>
      <c r="BH588" s="6"/>
      <c r="BI588" s="6"/>
      <c r="BJ588" s="6"/>
      <c r="BK588" s="6"/>
      <c r="BL588" s="6"/>
      <c r="BM588" s="6"/>
      <c r="BN588" s="6"/>
      <c r="BO588" s="6"/>
      <c r="BP588" s="6"/>
      <c r="BQ588" s="6"/>
      <c r="BR588" s="6"/>
      <c r="BS588" s="6"/>
      <c r="BT588" s="6"/>
      <c r="BU588" s="6"/>
      <c r="BV588" s="6"/>
      <c r="BW588" s="6"/>
      <c r="BX588" s="11"/>
    </row>
    <row r="589" spans="1:76" ht="15.7">
      <c r="A589" s="6"/>
      <c r="B589" s="7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  <c r="AZ589" s="6"/>
      <c r="BA589" s="6"/>
      <c r="BB589" s="6"/>
      <c r="BC589" s="6"/>
      <c r="BD589" s="6"/>
      <c r="BE589" s="6"/>
      <c r="BF589" s="6"/>
      <c r="BG589" s="6"/>
      <c r="BH589" s="6"/>
      <c r="BI589" s="6"/>
      <c r="BJ589" s="6"/>
      <c r="BK589" s="6"/>
      <c r="BL589" s="6"/>
      <c r="BM589" s="6"/>
      <c r="BN589" s="6"/>
      <c r="BO589" s="6"/>
      <c r="BP589" s="6"/>
      <c r="BQ589" s="6"/>
      <c r="BR589" s="6"/>
      <c r="BS589" s="6"/>
      <c r="BT589" s="6"/>
      <c r="BU589" s="6"/>
      <c r="BV589" s="6"/>
      <c r="BW589" s="6"/>
      <c r="BX589" s="11"/>
    </row>
    <row r="590" spans="1:76" ht="15.7">
      <c r="A590" s="6"/>
      <c r="B590" s="7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  <c r="AZ590" s="6"/>
      <c r="BA590" s="6"/>
      <c r="BB590" s="6"/>
      <c r="BC590" s="6"/>
      <c r="BD590" s="6"/>
      <c r="BE590" s="6"/>
      <c r="BF590" s="6"/>
      <c r="BG590" s="6"/>
      <c r="BH590" s="6"/>
      <c r="BI590" s="6"/>
      <c r="BJ590" s="6"/>
      <c r="BK590" s="6"/>
      <c r="BL590" s="6"/>
      <c r="BM590" s="6"/>
      <c r="BN590" s="6"/>
      <c r="BO590" s="6"/>
      <c r="BP590" s="6"/>
      <c r="BQ590" s="6"/>
      <c r="BR590" s="6"/>
      <c r="BS590" s="6"/>
      <c r="BT590" s="6"/>
      <c r="BU590" s="6"/>
      <c r="BV590" s="6"/>
      <c r="BW590" s="6"/>
      <c r="BX590" s="11"/>
    </row>
    <row r="591" spans="1:76" ht="15.7">
      <c r="A591" s="6"/>
      <c r="B591" s="7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  <c r="AZ591" s="6"/>
      <c r="BA591" s="6"/>
      <c r="BB591" s="6"/>
      <c r="BC591" s="6"/>
      <c r="BD591" s="6"/>
      <c r="BE591" s="6"/>
      <c r="BF591" s="6"/>
      <c r="BG591" s="6"/>
      <c r="BH591" s="6"/>
      <c r="BI591" s="6"/>
      <c r="BJ591" s="6"/>
      <c r="BK591" s="6"/>
      <c r="BL591" s="6"/>
      <c r="BM591" s="6"/>
      <c r="BN591" s="6"/>
      <c r="BO591" s="6"/>
      <c r="BP591" s="6"/>
      <c r="BQ591" s="6"/>
      <c r="BR591" s="6"/>
      <c r="BS591" s="6"/>
      <c r="BT591" s="6"/>
      <c r="BU591" s="6"/>
      <c r="BV591" s="6"/>
      <c r="BW591" s="6"/>
      <c r="BX591" s="11"/>
    </row>
    <row r="592" spans="1:76" ht="15.7">
      <c r="A592" s="6"/>
      <c r="B592" s="7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  <c r="AZ592" s="6"/>
      <c r="BA592" s="6"/>
      <c r="BB592" s="6"/>
      <c r="BC592" s="6"/>
      <c r="BD592" s="6"/>
      <c r="BE592" s="6"/>
      <c r="BF592" s="6"/>
      <c r="BG592" s="6"/>
      <c r="BH592" s="6"/>
      <c r="BI592" s="6"/>
      <c r="BJ592" s="6"/>
      <c r="BK592" s="6"/>
      <c r="BL592" s="6"/>
      <c r="BM592" s="6"/>
      <c r="BN592" s="6"/>
      <c r="BO592" s="6"/>
      <c r="BP592" s="6"/>
      <c r="BQ592" s="6"/>
      <c r="BR592" s="6"/>
      <c r="BS592" s="6"/>
      <c r="BT592" s="6"/>
      <c r="BU592" s="6"/>
      <c r="BV592" s="6"/>
      <c r="BW592" s="6"/>
      <c r="BX592" s="11"/>
    </row>
    <row r="593" spans="1:76" ht="15.7">
      <c r="A593" s="6"/>
      <c r="B593" s="7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  <c r="AZ593" s="6"/>
      <c r="BA593" s="6"/>
      <c r="BB593" s="6"/>
      <c r="BC593" s="6"/>
      <c r="BD593" s="6"/>
      <c r="BE593" s="6"/>
      <c r="BF593" s="6"/>
      <c r="BG593" s="6"/>
      <c r="BH593" s="6"/>
      <c r="BI593" s="6"/>
      <c r="BJ593" s="6"/>
      <c r="BK593" s="6"/>
      <c r="BL593" s="6"/>
      <c r="BM593" s="6"/>
      <c r="BN593" s="6"/>
      <c r="BO593" s="6"/>
      <c r="BP593" s="6"/>
      <c r="BQ593" s="6"/>
      <c r="BR593" s="6"/>
      <c r="BS593" s="6"/>
      <c r="BT593" s="6"/>
      <c r="BU593" s="6"/>
      <c r="BV593" s="6"/>
      <c r="BW593" s="6"/>
      <c r="BX593" s="11"/>
    </row>
    <row r="594" spans="1:76" ht="15.7">
      <c r="A594" s="6"/>
      <c r="B594" s="7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  <c r="AZ594" s="6"/>
      <c r="BA594" s="6"/>
      <c r="BB594" s="6"/>
      <c r="BC594" s="6"/>
      <c r="BD594" s="6"/>
      <c r="BE594" s="6"/>
      <c r="BF594" s="6"/>
      <c r="BG594" s="6"/>
      <c r="BH594" s="6"/>
      <c r="BI594" s="6"/>
      <c r="BJ594" s="6"/>
      <c r="BK594" s="6"/>
      <c r="BL594" s="6"/>
      <c r="BM594" s="6"/>
      <c r="BN594" s="6"/>
      <c r="BO594" s="6"/>
      <c r="BP594" s="6"/>
      <c r="BQ594" s="6"/>
      <c r="BR594" s="6"/>
      <c r="BS594" s="6"/>
      <c r="BT594" s="6"/>
      <c r="BU594" s="6"/>
      <c r="BV594" s="6"/>
      <c r="BW594" s="6"/>
      <c r="BX594" s="11"/>
    </row>
    <row r="595" spans="1:76" ht="15.7">
      <c r="A595" s="6"/>
      <c r="B595" s="7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  <c r="AZ595" s="6"/>
      <c r="BA595" s="6"/>
      <c r="BB595" s="6"/>
      <c r="BC595" s="6"/>
      <c r="BD595" s="6"/>
      <c r="BE595" s="6"/>
      <c r="BF595" s="6"/>
      <c r="BG595" s="6"/>
      <c r="BH595" s="6"/>
      <c r="BI595" s="6"/>
      <c r="BJ595" s="6"/>
      <c r="BK595" s="6"/>
      <c r="BL595" s="6"/>
      <c r="BM595" s="6"/>
      <c r="BN595" s="6"/>
      <c r="BO595" s="6"/>
      <c r="BP595" s="6"/>
      <c r="BQ595" s="6"/>
      <c r="BR595" s="6"/>
      <c r="BS595" s="6"/>
      <c r="BT595" s="6"/>
      <c r="BU595" s="6"/>
      <c r="BV595" s="6"/>
      <c r="BW595" s="6"/>
      <c r="BX595" s="11"/>
    </row>
    <row r="596" spans="1:76" ht="15.7">
      <c r="A596" s="6"/>
      <c r="B596" s="7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  <c r="AZ596" s="6"/>
      <c r="BA596" s="6"/>
      <c r="BB596" s="6"/>
      <c r="BC596" s="6"/>
      <c r="BD596" s="6"/>
      <c r="BE596" s="6"/>
      <c r="BF596" s="6"/>
      <c r="BG596" s="6"/>
      <c r="BH596" s="6"/>
      <c r="BI596" s="6"/>
      <c r="BJ596" s="6"/>
      <c r="BK596" s="6"/>
      <c r="BL596" s="6"/>
      <c r="BM596" s="6"/>
      <c r="BN596" s="6"/>
      <c r="BO596" s="6"/>
      <c r="BP596" s="6"/>
      <c r="BQ596" s="6"/>
      <c r="BR596" s="6"/>
      <c r="BS596" s="6"/>
      <c r="BT596" s="6"/>
      <c r="BU596" s="6"/>
      <c r="BV596" s="6"/>
      <c r="BW596" s="6"/>
      <c r="BX596" s="11"/>
    </row>
    <row r="597" spans="1:76" ht="15.7">
      <c r="A597" s="6"/>
      <c r="B597" s="7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  <c r="AZ597" s="6"/>
      <c r="BA597" s="6"/>
      <c r="BB597" s="6"/>
      <c r="BC597" s="6"/>
      <c r="BD597" s="6"/>
      <c r="BE597" s="6"/>
      <c r="BF597" s="6"/>
      <c r="BG597" s="6"/>
      <c r="BH597" s="6"/>
      <c r="BI597" s="6"/>
      <c r="BJ597" s="6"/>
      <c r="BK597" s="6"/>
      <c r="BL597" s="6"/>
      <c r="BM597" s="6"/>
      <c r="BN597" s="6"/>
      <c r="BO597" s="6"/>
      <c r="BP597" s="6"/>
      <c r="BQ597" s="6"/>
      <c r="BR597" s="6"/>
      <c r="BS597" s="6"/>
      <c r="BT597" s="6"/>
      <c r="BU597" s="6"/>
      <c r="BV597" s="6"/>
      <c r="BW597" s="6"/>
      <c r="BX597" s="11"/>
    </row>
    <row r="598" spans="1:76" ht="15.7">
      <c r="A598" s="6"/>
      <c r="B598" s="7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  <c r="AZ598" s="6"/>
      <c r="BA598" s="6"/>
      <c r="BB598" s="6"/>
      <c r="BC598" s="6"/>
      <c r="BD598" s="6"/>
      <c r="BE598" s="6"/>
      <c r="BF598" s="6"/>
      <c r="BG598" s="6"/>
      <c r="BH598" s="6"/>
      <c r="BI598" s="6"/>
      <c r="BJ598" s="6"/>
      <c r="BK598" s="6"/>
      <c r="BL598" s="6"/>
      <c r="BM598" s="6"/>
      <c r="BN598" s="6"/>
      <c r="BO598" s="6"/>
      <c r="BP598" s="6"/>
      <c r="BQ598" s="6"/>
      <c r="BR598" s="6"/>
      <c r="BS598" s="6"/>
      <c r="BT598" s="6"/>
      <c r="BU598" s="6"/>
      <c r="BV598" s="6"/>
      <c r="BW598" s="6"/>
      <c r="BX598" s="11"/>
    </row>
    <row r="599" spans="1:76" ht="15.7">
      <c r="A599" s="6"/>
      <c r="B599" s="7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  <c r="AZ599" s="6"/>
      <c r="BA599" s="6"/>
      <c r="BB599" s="6"/>
      <c r="BC599" s="6"/>
      <c r="BD599" s="6"/>
      <c r="BE599" s="6"/>
      <c r="BF599" s="6"/>
      <c r="BG599" s="6"/>
      <c r="BH599" s="6"/>
      <c r="BI599" s="6"/>
      <c r="BJ599" s="6"/>
      <c r="BK599" s="6"/>
      <c r="BL599" s="6"/>
      <c r="BM599" s="6"/>
      <c r="BN599" s="6"/>
      <c r="BO599" s="6"/>
      <c r="BP599" s="6"/>
      <c r="BQ599" s="6"/>
      <c r="BR599" s="6"/>
      <c r="BS599" s="6"/>
      <c r="BT599" s="6"/>
      <c r="BU599" s="6"/>
      <c r="BV599" s="6"/>
      <c r="BW599" s="6"/>
      <c r="BX599" s="11"/>
    </row>
    <row r="600" spans="1:76" ht="15.7">
      <c r="A600" s="6"/>
      <c r="B600" s="7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  <c r="AZ600" s="6"/>
      <c r="BA600" s="6"/>
      <c r="BB600" s="6"/>
      <c r="BC600" s="6"/>
      <c r="BD600" s="6"/>
      <c r="BE600" s="6"/>
      <c r="BF600" s="6"/>
      <c r="BG600" s="6"/>
      <c r="BH600" s="6"/>
      <c r="BI600" s="6"/>
      <c r="BJ600" s="6"/>
      <c r="BK600" s="6"/>
      <c r="BL600" s="6"/>
      <c r="BM600" s="6"/>
      <c r="BN600" s="6"/>
      <c r="BO600" s="6"/>
      <c r="BP600" s="6"/>
      <c r="BQ600" s="6"/>
      <c r="BR600" s="6"/>
      <c r="BS600" s="6"/>
      <c r="BT600" s="6"/>
      <c r="BU600" s="6"/>
      <c r="BV600" s="6"/>
      <c r="BW600" s="6"/>
      <c r="BX600" s="11"/>
    </row>
    <row r="601" spans="1:76" ht="15.7">
      <c r="A601" s="6"/>
      <c r="B601" s="7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  <c r="AZ601" s="6"/>
      <c r="BA601" s="6"/>
      <c r="BB601" s="6"/>
      <c r="BC601" s="6"/>
      <c r="BD601" s="6"/>
      <c r="BE601" s="6"/>
      <c r="BF601" s="6"/>
      <c r="BG601" s="6"/>
      <c r="BH601" s="6"/>
      <c r="BI601" s="6"/>
      <c r="BJ601" s="6"/>
      <c r="BK601" s="6"/>
      <c r="BL601" s="6"/>
      <c r="BM601" s="6"/>
      <c r="BN601" s="6"/>
      <c r="BO601" s="6"/>
      <c r="BP601" s="6"/>
      <c r="BQ601" s="6"/>
      <c r="BR601" s="6"/>
      <c r="BS601" s="6"/>
      <c r="BT601" s="6"/>
      <c r="BU601" s="6"/>
      <c r="BV601" s="6"/>
      <c r="BW601" s="6"/>
      <c r="BX601" s="11"/>
    </row>
    <row r="602" spans="1:76" ht="15.7">
      <c r="A602" s="6"/>
      <c r="B602" s="7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  <c r="AZ602" s="6"/>
      <c r="BA602" s="6"/>
      <c r="BB602" s="6"/>
      <c r="BC602" s="6"/>
      <c r="BD602" s="6"/>
      <c r="BE602" s="6"/>
      <c r="BF602" s="6"/>
      <c r="BG602" s="6"/>
      <c r="BH602" s="6"/>
      <c r="BI602" s="6"/>
      <c r="BJ602" s="6"/>
      <c r="BK602" s="6"/>
      <c r="BL602" s="6"/>
      <c r="BM602" s="6"/>
      <c r="BN602" s="6"/>
      <c r="BO602" s="6"/>
      <c r="BP602" s="6"/>
      <c r="BQ602" s="6"/>
      <c r="BR602" s="6"/>
      <c r="BS602" s="6"/>
      <c r="BT602" s="6"/>
      <c r="BU602" s="6"/>
      <c r="BV602" s="6"/>
      <c r="BW602" s="6"/>
      <c r="BX602" s="11"/>
    </row>
    <row r="603" spans="1:76" ht="15.7">
      <c r="A603" s="6"/>
      <c r="B603" s="7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  <c r="AZ603" s="6"/>
      <c r="BA603" s="6"/>
      <c r="BB603" s="6"/>
      <c r="BC603" s="6"/>
      <c r="BD603" s="6"/>
      <c r="BE603" s="6"/>
      <c r="BF603" s="6"/>
      <c r="BG603" s="6"/>
      <c r="BH603" s="6"/>
      <c r="BI603" s="6"/>
      <c r="BJ603" s="6"/>
      <c r="BK603" s="6"/>
      <c r="BL603" s="6"/>
      <c r="BM603" s="6"/>
      <c r="BN603" s="6"/>
      <c r="BO603" s="6"/>
      <c r="BP603" s="6"/>
      <c r="BQ603" s="6"/>
      <c r="BR603" s="6"/>
      <c r="BS603" s="6"/>
      <c r="BT603" s="6"/>
      <c r="BU603" s="6"/>
      <c r="BV603" s="6"/>
      <c r="BW603" s="6"/>
      <c r="BX603" s="11"/>
    </row>
    <row r="604" spans="1:76" ht="15.7">
      <c r="A604" s="6"/>
      <c r="B604" s="7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  <c r="AZ604" s="6"/>
      <c r="BA604" s="6"/>
      <c r="BB604" s="6"/>
      <c r="BC604" s="6"/>
      <c r="BD604" s="6"/>
      <c r="BE604" s="6"/>
      <c r="BF604" s="6"/>
      <c r="BG604" s="6"/>
      <c r="BH604" s="6"/>
      <c r="BI604" s="6"/>
      <c r="BJ604" s="6"/>
      <c r="BK604" s="6"/>
      <c r="BL604" s="6"/>
      <c r="BM604" s="6"/>
      <c r="BN604" s="6"/>
      <c r="BO604" s="6"/>
      <c r="BP604" s="6"/>
      <c r="BQ604" s="6"/>
      <c r="BR604" s="6"/>
      <c r="BS604" s="6"/>
      <c r="BT604" s="6"/>
      <c r="BU604" s="6"/>
      <c r="BV604" s="6"/>
      <c r="BW604" s="6"/>
      <c r="BX604" s="11"/>
    </row>
    <row r="605" spans="1:76" ht="15.7">
      <c r="A605" s="6"/>
      <c r="B605" s="7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  <c r="AZ605" s="6"/>
      <c r="BA605" s="6"/>
      <c r="BB605" s="6"/>
      <c r="BC605" s="6"/>
      <c r="BD605" s="6"/>
      <c r="BE605" s="6"/>
      <c r="BF605" s="6"/>
      <c r="BG605" s="6"/>
      <c r="BH605" s="6"/>
      <c r="BI605" s="6"/>
      <c r="BJ605" s="6"/>
      <c r="BK605" s="6"/>
      <c r="BL605" s="6"/>
      <c r="BM605" s="6"/>
      <c r="BN605" s="6"/>
      <c r="BO605" s="6"/>
      <c r="BP605" s="6"/>
      <c r="BQ605" s="6"/>
      <c r="BR605" s="6"/>
      <c r="BS605" s="6"/>
      <c r="BT605" s="6"/>
      <c r="BU605" s="6"/>
      <c r="BV605" s="6"/>
      <c r="BW605" s="6"/>
      <c r="BX605" s="11"/>
    </row>
    <row r="606" spans="1:76" ht="15.7">
      <c r="A606" s="6"/>
      <c r="B606" s="7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  <c r="AZ606" s="6"/>
      <c r="BA606" s="6"/>
      <c r="BB606" s="6"/>
      <c r="BC606" s="6"/>
      <c r="BD606" s="6"/>
      <c r="BE606" s="6"/>
      <c r="BF606" s="6"/>
      <c r="BG606" s="6"/>
      <c r="BH606" s="6"/>
      <c r="BI606" s="6"/>
      <c r="BJ606" s="6"/>
      <c r="BK606" s="6"/>
      <c r="BL606" s="6"/>
      <c r="BM606" s="6"/>
      <c r="BN606" s="6"/>
      <c r="BO606" s="6"/>
      <c r="BP606" s="6"/>
      <c r="BQ606" s="6"/>
      <c r="BR606" s="6"/>
      <c r="BS606" s="6"/>
      <c r="BT606" s="6"/>
      <c r="BU606" s="6"/>
      <c r="BV606" s="6"/>
      <c r="BW606" s="6"/>
      <c r="BX606" s="11"/>
    </row>
    <row r="607" spans="1:76" ht="15.7">
      <c r="A607" s="6"/>
      <c r="B607" s="7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  <c r="AZ607" s="6"/>
      <c r="BA607" s="6"/>
      <c r="BB607" s="6"/>
      <c r="BC607" s="6"/>
      <c r="BD607" s="6"/>
      <c r="BE607" s="6"/>
      <c r="BF607" s="6"/>
      <c r="BG607" s="6"/>
      <c r="BH607" s="6"/>
      <c r="BI607" s="6"/>
      <c r="BJ607" s="6"/>
      <c r="BK607" s="6"/>
      <c r="BL607" s="6"/>
      <c r="BM607" s="6"/>
      <c r="BN607" s="6"/>
      <c r="BO607" s="6"/>
      <c r="BP607" s="6"/>
      <c r="BQ607" s="6"/>
      <c r="BR607" s="6"/>
      <c r="BS607" s="6"/>
      <c r="BT607" s="6"/>
      <c r="BU607" s="6"/>
      <c r="BV607" s="6"/>
      <c r="BW607" s="6"/>
      <c r="BX607" s="11"/>
    </row>
    <row r="608" spans="1:76" ht="15.7">
      <c r="A608" s="6"/>
      <c r="B608" s="7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  <c r="AZ608" s="6"/>
      <c r="BA608" s="6"/>
      <c r="BB608" s="6"/>
      <c r="BC608" s="6"/>
      <c r="BD608" s="6"/>
      <c r="BE608" s="6"/>
      <c r="BF608" s="6"/>
      <c r="BG608" s="6"/>
      <c r="BH608" s="6"/>
      <c r="BI608" s="6"/>
      <c r="BJ608" s="6"/>
      <c r="BK608" s="6"/>
      <c r="BL608" s="6"/>
      <c r="BM608" s="6"/>
      <c r="BN608" s="6"/>
      <c r="BO608" s="6"/>
      <c r="BP608" s="6"/>
      <c r="BQ608" s="6"/>
      <c r="BR608" s="6"/>
      <c r="BS608" s="6"/>
      <c r="BT608" s="6"/>
      <c r="BU608" s="6"/>
      <c r="BV608" s="6"/>
      <c r="BW608" s="6"/>
      <c r="BX608" s="11"/>
    </row>
    <row r="609" spans="1:76" ht="15.7">
      <c r="A609" s="6"/>
      <c r="B609" s="7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  <c r="AZ609" s="6"/>
      <c r="BA609" s="6"/>
      <c r="BB609" s="6"/>
      <c r="BC609" s="6"/>
      <c r="BD609" s="6"/>
      <c r="BE609" s="6"/>
      <c r="BF609" s="6"/>
      <c r="BG609" s="6"/>
      <c r="BH609" s="6"/>
      <c r="BI609" s="6"/>
      <c r="BJ609" s="6"/>
      <c r="BK609" s="6"/>
      <c r="BL609" s="6"/>
      <c r="BM609" s="6"/>
      <c r="BN609" s="6"/>
      <c r="BO609" s="6"/>
      <c r="BP609" s="6"/>
      <c r="BQ609" s="6"/>
      <c r="BR609" s="6"/>
      <c r="BS609" s="6"/>
      <c r="BT609" s="6"/>
      <c r="BU609" s="6"/>
      <c r="BV609" s="6"/>
      <c r="BW609" s="6"/>
      <c r="BX609" s="11"/>
    </row>
    <row r="610" spans="1:76" ht="15.7">
      <c r="A610" s="6"/>
      <c r="B610" s="7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  <c r="AZ610" s="6"/>
      <c r="BA610" s="6"/>
      <c r="BB610" s="6"/>
      <c r="BC610" s="6"/>
      <c r="BD610" s="6"/>
      <c r="BE610" s="6"/>
      <c r="BF610" s="6"/>
      <c r="BG610" s="6"/>
      <c r="BH610" s="6"/>
      <c r="BI610" s="6"/>
      <c r="BJ610" s="6"/>
      <c r="BK610" s="6"/>
      <c r="BL610" s="6"/>
      <c r="BM610" s="6"/>
      <c r="BN610" s="6"/>
      <c r="BO610" s="6"/>
      <c r="BP610" s="6"/>
      <c r="BQ610" s="6"/>
      <c r="BR610" s="6"/>
      <c r="BS610" s="6"/>
      <c r="BT610" s="6"/>
      <c r="BU610" s="6"/>
      <c r="BV610" s="6"/>
      <c r="BW610" s="6"/>
      <c r="BX610" s="11"/>
    </row>
    <row r="611" spans="1:76" ht="15.7">
      <c r="A611" s="6"/>
      <c r="B611" s="7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  <c r="AZ611" s="6"/>
      <c r="BA611" s="6"/>
      <c r="BB611" s="6"/>
      <c r="BC611" s="6"/>
      <c r="BD611" s="6"/>
      <c r="BE611" s="6"/>
      <c r="BF611" s="6"/>
      <c r="BG611" s="6"/>
      <c r="BH611" s="6"/>
      <c r="BI611" s="6"/>
      <c r="BJ611" s="6"/>
      <c r="BK611" s="6"/>
      <c r="BL611" s="6"/>
      <c r="BM611" s="6"/>
      <c r="BN611" s="6"/>
      <c r="BO611" s="6"/>
      <c r="BP611" s="6"/>
      <c r="BQ611" s="6"/>
      <c r="BR611" s="6"/>
      <c r="BS611" s="6"/>
      <c r="BT611" s="6"/>
      <c r="BU611" s="6"/>
      <c r="BV611" s="6"/>
      <c r="BW611" s="6"/>
      <c r="BX611" s="11"/>
    </row>
    <row r="612" spans="1:76" ht="15.7">
      <c r="A612" s="6"/>
      <c r="B612" s="7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  <c r="AZ612" s="6"/>
      <c r="BA612" s="6"/>
      <c r="BB612" s="6"/>
      <c r="BC612" s="6"/>
      <c r="BD612" s="6"/>
      <c r="BE612" s="6"/>
      <c r="BF612" s="6"/>
      <c r="BG612" s="6"/>
      <c r="BH612" s="6"/>
      <c r="BI612" s="6"/>
      <c r="BJ612" s="6"/>
      <c r="BK612" s="6"/>
      <c r="BL612" s="6"/>
      <c r="BM612" s="6"/>
      <c r="BN612" s="6"/>
      <c r="BO612" s="6"/>
      <c r="BP612" s="6"/>
      <c r="BQ612" s="6"/>
      <c r="BR612" s="6"/>
      <c r="BS612" s="6"/>
      <c r="BT612" s="6"/>
      <c r="BU612" s="6"/>
      <c r="BV612" s="6"/>
      <c r="BW612" s="6"/>
      <c r="BX612" s="11"/>
    </row>
    <row r="613" spans="1:76" ht="15.7">
      <c r="A613" s="6"/>
      <c r="B613" s="7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  <c r="AZ613" s="6"/>
      <c r="BA613" s="6"/>
      <c r="BB613" s="6"/>
      <c r="BC613" s="6"/>
      <c r="BD613" s="6"/>
      <c r="BE613" s="6"/>
      <c r="BF613" s="6"/>
      <c r="BG613" s="6"/>
      <c r="BH613" s="6"/>
      <c r="BI613" s="6"/>
      <c r="BJ613" s="6"/>
      <c r="BK613" s="6"/>
      <c r="BL613" s="6"/>
      <c r="BM613" s="6"/>
      <c r="BN613" s="6"/>
      <c r="BO613" s="6"/>
      <c r="BP613" s="6"/>
      <c r="BQ613" s="6"/>
      <c r="BR613" s="6"/>
      <c r="BS613" s="6"/>
      <c r="BT613" s="6"/>
      <c r="BU613" s="6"/>
      <c r="BV613" s="6"/>
      <c r="BW613" s="6"/>
      <c r="BX613" s="11"/>
    </row>
    <row r="614" spans="1:76" ht="15.7">
      <c r="A614" s="6"/>
      <c r="B614" s="7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  <c r="AZ614" s="6"/>
      <c r="BA614" s="6"/>
      <c r="BB614" s="6"/>
      <c r="BC614" s="6"/>
      <c r="BD614" s="6"/>
      <c r="BE614" s="6"/>
      <c r="BF614" s="6"/>
      <c r="BG614" s="6"/>
      <c r="BH614" s="6"/>
      <c r="BI614" s="6"/>
      <c r="BJ614" s="6"/>
      <c r="BK614" s="6"/>
      <c r="BL614" s="6"/>
      <c r="BM614" s="6"/>
      <c r="BN614" s="6"/>
      <c r="BO614" s="6"/>
      <c r="BP614" s="6"/>
      <c r="BQ614" s="6"/>
      <c r="BR614" s="6"/>
      <c r="BS614" s="6"/>
      <c r="BT614" s="6"/>
      <c r="BU614" s="6"/>
      <c r="BV614" s="6"/>
      <c r="BW614" s="6"/>
      <c r="BX614" s="11"/>
    </row>
    <row r="615" spans="1:76" ht="15.7">
      <c r="A615" s="6"/>
      <c r="B615" s="7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  <c r="AZ615" s="6"/>
      <c r="BA615" s="6"/>
      <c r="BB615" s="6"/>
      <c r="BC615" s="6"/>
      <c r="BD615" s="6"/>
      <c r="BE615" s="6"/>
      <c r="BF615" s="6"/>
      <c r="BG615" s="6"/>
      <c r="BH615" s="6"/>
      <c r="BI615" s="6"/>
      <c r="BJ615" s="6"/>
      <c r="BK615" s="6"/>
      <c r="BL615" s="6"/>
      <c r="BM615" s="6"/>
      <c r="BN615" s="6"/>
      <c r="BO615" s="6"/>
      <c r="BP615" s="6"/>
      <c r="BQ615" s="6"/>
      <c r="BR615" s="6"/>
      <c r="BS615" s="6"/>
      <c r="BT615" s="6"/>
      <c r="BU615" s="6"/>
      <c r="BV615" s="6"/>
      <c r="BW615" s="6"/>
      <c r="BX615" s="11"/>
    </row>
    <row r="616" spans="1:76" ht="15.7">
      <c r="A616" s="6"/>
      <c r="B616" s="7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  <c r="AZ616" s="6"/>
      <c r="BA616" s="6"/>
      <c r="BB616" s="6"/>
      <c r="BC616" s="6"/>
      <c r="BD616" s="6"/>
      <c r="BE616" s="6"/>
      <c r="BF616" s="6"/>
      <c r="BG616" s="6"/>
      <c r="BH616" s="6"/>
      <c r="BI616" s="6"/>
      <c r="BJ616" s="6"/>
      <c r="BK616" s="6"/>
      <c r="BL616" s="6"/>
      <c r="BM616" s="6"/>
      <c r="BN616" s="6"/>
      <c r="BO616" s="6"/>
      <c r="BP616" s="6"/>
      <c r="BQ616" s="6"/>
      <c r="BR616" s="6"/>
      <c r="BS616" s="6"/>
      <c r="BT616" s="6"/>
      <c r="BU616" s="6"/>
      <c r="BV616" s="6"/>
      <c r="BW616" s="6"/>
      <c r="BX616" s="11"/>
    </row>
    <row r="617" spans="1:76" ht="15.7">
      <c r="A617" s="6"/>
      <c r="B617" s="7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  <c r="AZ617" s="6"/>
      <c r="BA617" s="6"/>
      <c r="BB617" s="6"/>
      <c r="BC617" s="6"/>
      <c r="BD617" s="6"/>
      <c r="BE617" s="6"/>
      <c r="BF617" s="6"/>
      <c r="BG617" s="6"/>
      <c r="BH617" s="6"/>
      <c r="BI617" s="6"/>
      <c r="BJ617" s="6"/>
      <c r="BK617" s="6"/>
      <c r="BL617" s="6"/>
      <c r="BM617" s="6"/>
      <c r="BN617" s="6"/>
      <c r="BO617" s="6"/>
      <c r="BP617" s="6"/>
      <c r="BQ617" s="6"/>
      <c r="BR617" s="6"/>
      <c r="BS617" s="6"/>
      <c r="BT617" s="6"/>
      <c r="BU617" s="6"/>
      <c r="BV617" s="6"/>
      <c r="BW617" s="6"/>
      <c r="BX617" s="11"/>
    </row>
    <row r="618" spans="1:76" ht="15.7">
      <c r="A618" s="6"/>
      <c r="B618" s="7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  <c r="AZ618" s="6"/>
      <c r="BA618" s="6"/>
      <c r="BB618" s="6"/>
      <c r="BC618" s="6"/>
      <c r="BD618" s="6"/>
      <c r="BE618" s="6"/>
      <c r="BF618" s="6"/>
      <c r="BG618" s="6"/>
      <c r="BH618" s="6"/>
      <c r="BI618" s="6"/>
      <c r="BJ618" s="6"/>
      <c r="BK618" s="6"/>
      <c r="BL618" s="6"/>
      <c r="BM618" s="6"/>
      <c r="BN618" s="6"/>
      <c r="BO618" s="6"/>
      <c r="BP618" s="6"/>
      <c r="BQ618" s="6"/>
      <c r="BR618" s="6"/>
      <c r="BS618" s="6"/>
      <c r="BT618" s="6"/>
      <c r="BU618" s="6"/>
      <c r="BV618" s="6"/>
      <c r="BW618" s="6"/>
      <c r="BX618" s="11"/>
    </row>
    <row r="619" spans="1:76" ht="15.7">
      <c r="A619" s="6"/>
      <c r="B619" s="7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  <c r="AZ619" s="6"/>
      <c r="BA619" s="6"/>
      <c r="BB619" s="6"/>
      <c r="BC619" s="6"/>
      <c r="BD619" s="6"/>
      <c r="BE619" s="6"/>
      <c r="BF619" s="6"/>
      <c r="BG619" s="6"/>
      <c r="BH619" s="6"/>
      <c r="BI619" s="6"/>
      <c r="BJ619" s="6"/>
      <c r="BK619" s="6"/>
      <c r="BL619" s="6"/>
      <c r="BM619" s="6"/>
      <c r="BN619" s="6"/>
      <c r="BO619" s="6"/>
      <c r="BP619" s="6"/>
      <c r="BQ619" s="6"/>
      <c r="BR619" s="6"/>
      <c r="BS619" s="6"/>
      <c r="BT619" s="6"/>
      <c r="BU619" s="6"/>
      <c r="BV619" s="6"/>
      <c r="BW619" s="6"/>
      <c r="BX619" s="11"/>
    </row>
    <row r="620" spans="1:76" ht="15.7">
      <c r="A620" s="6"/>
      <c r="B620" s="7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  <c r="AZ620" s="6"/>
      <c r="BA620" s="6"/>
      <c r="BB620" s="6"/>
      <c r="BC620" s="6"/>
      <c r="BD620" s="6"/>
      <c r="BE620" s="6"/>
      <c r="BF620" s="6"/>
      <c r="BG620" s="6"/>
      <c r="BH620" s="6"/>
      <c r="BI620" s="6"/>
      <c r="BJ620" s="6"/>
      <c r="BK620" s="6"/>
      <c r="BL620" s="6"/>
      <c r="BM620" s="6"/>
      <c r="BN620" s="6"/>
      <c r="BO620" s="6"/>
      <c r="BP620" s="6"/>
      <c r="BQ620" s="6"/>
      <c r="BR620" s="6"/>
      <c r="BS620" s="6"/>
      <c r="BT620" s="6"/>
      <c r="BU620" s="6"/>
      <c r="BV620" s="6"/>
      <c r="BW620" s="6"/>
      <c r="BX620" s="11"/>
    </row>
    <row r="621" spans="1:76" ht="15.7">
      <c r="A621" s="6"/>
      <c r="B621" s="7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  <c r="AZ621" s="6"/>
      <c r="BA621" s="6"/>
      <c r="BB621" s="6"/>
      <c r="BC621" s="6"/>
      <c r="BD621" s="6"/>
      <c r="BE621" s="6"/>
      <c r="BF621" s="6"/>
      <c r="BG621" s="6"/>
      <c r="BH621" s="6"/>
      <c r="BI621" s="6"/>
      <c r="BJ621" s="6"/>
      <c r="BK621" s="6"/>
      <c r="BL621" s="6"/>
      <c r="BM621" s="6"/>
      <c r="BN621" s="6"/>
      <c r="BO621" s="6"/>
      <c r="BP621" s="6"/>
      <c r="BQ621" s="6"/>
      <c r="BR621" s="6"/>
      <c r="BS621" s="6"/>
      <c r="BT621" s="6"/>
      <c r="BU621" s="6"/>
      <c r="BV621" s="6"/>
      <c r="BW621" s="6"/>
      <c r="BX621" s="11"/>
    </row>
    <row r="622" spans="1:76" ht="15.7">
      <c r="A622" s="6"/>
      <c r="B622" s="7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  <c r="AZ622" s="6"/>
      <c r="BA622" s="6"/>
      <c r="BB622" s="6"/>
      <c r="BC622" s="6"/>
      <c r="BD622" s="6"/>
      <c r="BE622" s="6"/>
      <c r="BF622" s="6"/>
      <c r="BG622" s="6"/>
      <c r="BH622" s="6"/>
      <c r="BI622" s="6"/>
      <c r="BJ622" s="6"/>
      <c r="BK622" s="6"/>
      <c r="BL622" s="6"/>
      <c r="BM622" s="6"/>
      <c r="BN622" s="6"/>
      <c r="BO622" s="6"/>
      <c r="BP622" s="6"/>
      <c r="BQ622" s="6"/>
      <c r="BR622" s="6"/>
      <c r="BS622" s="6"/>
      <c r="BT622" s="6"/>
      <c r="BU622" s="6"/>
      <c r="BV622" s="6"/>
      <c r="BW622" s="6"/>
      <c r="BX622" s="11"/>
    </row>
    <row r="623" spans="1:76" ht="15.7">
      <c r="A623" s="6"/>
      <c r="B623" s="7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  <c r="AZ623" s="6"/>
      <c r="BA623" s="6"/>
      <c r="BB623" s="6"/>
      <c r="BC623" s="6"/>
      <c r="BD623" s="6"/>
      <c r="BE623" s="6"/>
      <c r="BF623" s="6"/>
      <c r="BG623" s="6"/>
      <c r="BH623" s="6"/>
      <c r="BI623" s="6"/>
      <c r="BJ623" s="6"/>
      <c r="BK623" s="6"/>
      <c r="BL623" s="6"/>
      <c r="BM623" s="6"/>
      <c r="BN623" s="6"/>
      <c r="BO623" s="6"/>
      <c r="BP623" s="6"/>
      <c r="BQ623" s="6"/>
      <c r="BR623" s="6"/>
      <c r="BS623" s="6"/>
      <c r="BT623" s="6"/>
      <c r="BU623" s="6"/>
      <c r="BV623" s="6"/>
      <c r="BW623" s="6"/>
      <c r="BX623" s="11"/>
    </row>
    <row r="624" spans="1:76" ht="15.7">
      <c r="A624" s="6"/>
      <c r="B624" s="7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  <c r="AZ624" s="6"/>
      <c r="BA624" s="6"/>
      <c r="BB624" s="6"/>
      <c r="BC624" s="6"/>
      <c r="BD624" s="6"/>
      <c r="BE624" s="6"/>
      <c r="BF624" s="6"/>
      <c r="BG624" s="6"/>
      <c r="BH624" s="6"/>
      <c r="BI624" s="6"/>
      <c r="BJ624" s="6"/>
      <c r="BK624" s="6"/>
      <c r="BL624" s="6"/>
      <c r="BM624" s="6"/>
      <c r="BN624" s="6"/>
      <c r="BO624" s="6"/>
      <c r="BP624" s="6"/>
      <c r="BQ624" s="6"/>
      <c r="BR624" s="6"/>
      <c r="BS624" s="6"/>
      <c r="BT624" s="6"/>
      <c r="BU624" s="6"/>
      <c r="BV624" s="6"/>
      <c r="BW624" s="6"/>
      <c r="BX624" s="11"/>
    </row>
    <row r="625" spans="1:76" ht="15.7">
      <c r="A625" s="6"/>
      <c r="B625" s="7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  <c r="AZ625" s="6"/>
      <c r="BA625" s="6"/>
      <c r="BB625" s="6"/>
      <c r="BC625" s="6"/>
      <c r="BD625" s="6"/>
      <c r="BE625" s="6"/>
      <c r="BF625" s="6"/>
      <c r="BG625" s="6"/>
      <c r="BH625" s="6"/>
      <c r="BI625" s="6"/>
      <c r="BJ625" s="6"/>
      <c r="BK625" s="6"/>
      <c r="BL625" s="6"/>
      <c r="BM625" s="6"/>
      <c r="BN625" s="6"/>
      <c r="BO625" s="6"/>
      <c r="BP625" s="6"/>
      <c r="BQ625" s="6"/>
      <c r="BR625" s="6"/>
      <c r="BS625" s="6"/>
      <c r="BT625" s="6"/>
      <c r="BU625" s="6"/>
      <c r="BV625" s="6"/>
      <c r="BW625" s="6"/>
      <c r="BX625" s="11"/>
    </row>
    <row r="626" spans="1:76" ht="15.7">
      <c r="A626" s="6"/>
      <c r="B626" s="7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  <c r="AZ626" s="6"/>
      <c r="BA626" s="6"/>
      <c r="BB626" s="6"/>
      <c r="BC626" s="6"/>
      <c r="BD626" s="6"/>
      <c r="BE626" s="6"/>
      <c r="BF626" s="6"/>
      <c r="BG626" s="6"/>
      <c r="BH626" s="6"/>
      <c r="BI626" s="6"/>
      <c r="BJ626" s="6"/>
      <c r="BK626" s="6"/>
      <c r="BL626" s="6"/>
      <c r="BM626" s="6"/>
      <c r="BN626" s="6"/>
      <c r="BO626" s="6"/>
      <c r="BP626" s="6"/>
      <c r="BQ626" s="6"/>
      <c r="BR626" s="6"/>
      <c r="BS626" s="6"/>
      <c r="BT626" s="6"/>
      <c r="BU626" s="6"/>
      <c r="BV626" s="6"/>
      <c r="BW626" s="6"/>
      <c r="BX626" s="11"/>
    </row>
    <row r="627" spans="1:76" ht="15.7">
      <c r="A627" s="6"/>
      <c r="B627" s="7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  <c r="AZ627" s="6"/>
      <c r="BA627" s="6"/>
      <c r="BB627" s="6"/>
      <c r="BC627" s="6"/>
      <c r="BD627" s="6"/>
      <c r="BE627" s="6"/>
      <c r="BF627" s="6"/>
      <c r="BG627" s="6"/>
      <c r="BH627" s="6"/>
      <c r="BI627" s="6"/>
      <c r="BJ627" s="6"/>
      <c r="BK627" s="6"/>
      <c r="BL627" s="6"/>
      <c r="BM627" s="6"/>
      <c r="BN627" s="6"/>
      <c r="BO627" s="6"/>
      <c r="BP627" s="6"/>
      <c r="BQ627" s="6"/>
      <c r="BR627" s="6"/>
      <c r="BS627" s="6"/>
      <c r="BT627" s="6"/>
      <c r="BU627" s="6"/>
      <c r="BV627" s="6"/>
      <c r="BW627" s="6"/>
      <c r="BX627" s="11"/>
    </row>
    <row r="628" spans="1:76" ht="15.7">
      <c r="A628" s="6"/>
      <c r="B628" s="7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  <c r="AZ628" s="6"/>
      <c r="BA628" s="6"/>
      <c r="BB628" s="6"/>
      <c r="BC628" s="6"/>
      <c r="BD628" s="6"/>
      <c r="BE628" s="6"/>
      <c r="BF628" s="6"/>
      <c r="BG628" s="6"/>
      <c r="BH628" s="6"/>
      <c r="BI628" s="6"/>
      <c r="BJ628" s="6"/>
      <c r="BK628" s="6"/>
      <c r="BL628" s="6"/>
      <c r="BM628" s="6"/>
      <c r="BN628" s="6"/>
      <c r="BO628" s="6"/>
      <c r="BP628" s="6"/>
      <c r="BQ628" s="6"/>
      <c r="BR628" s="6"/>
      <c r="BS628" s="6"/>
      <c r="BT628" s="6"/>
      <c r="BU628" s="6"/>
      <c r="BV628" s="6"/>
      <c r="BW628" s="6"/>
      <c r="BX628" s="11"/>
    </row>
    <row r="629" spans="1:76" ht="15.7">
      <c r="A629" s="6"/>
      <c r="B629" s="7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  <c r="AZ629" s="6"/>
      <c r="BA629" s="6"/>
      <c r="BB629" s="6"/>
      <c r="BC629" s="6"/>
      <c r="BD629" s="6"/>
      <c r="BE629" s="6"/>
      <c r="BF629" s="6"/>
      <c r="BG629" s="6"/>
      <c r="BH629" s="6"/>
      <c r="BI629" s="6"/>
      <c r="BJ629" s="6"/>
      <c r="BK629" s="6"/>
      <c r="BL629" s="6"/>
      <c r="BM629" s="6"/>
      <c r="BN629" s="6"/>
      <c r="BO629" s="6"/>
      <c r="BP629" s="6"/>
      <c r="BQ629" s="6"/>
      <c r="BR629" s="6"/>
      <c r="BS629" s="6"/>
      <c r="BT629" s="6"/>
      <c r="BU629" s="6"/>
      <c r="BV629" s="6"/>
      <c r="BW629" s="6"/>
      <c r="BX629" s="11"/>
    </row>
    <row r="630" spans="1:76" ht="15.7">
      <c r="A630" s="6"/>
      <c r="B630" s="7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  <c r="AZ630" s="6"/>
      <c r="BA630" s="6"/>
      <c r="BB630" s="6"/>
      <c r="BC630" s="6"/>
      <c r="BD630" s="6"/>
      <c r="BE630" s="6"/>
      <c r="BF630" s="6"/>
      <c r="BG630" s="6"/>
      <c r="BH630" s="6"/>
      <c r="BI630" s="6"/>
      <c r="BJ630" s="6"/>
      <c r="BK630" s="6"/>
      <c r="BL630" s="6"/>
      <c r="BM630" s="6"/>
      <c r="BN630" s="6"/>
      <c r="BO630" s="6"/>
      <c r="BP630" s="6"/>
      <c r="BQ630" s="6"/>
      <c r="BR630" s="6"/>
      <c r="BS630" s="6"/>
      <c r="BT630" s="6"/>
      <c r="BU630" s="6"/>
      <c r="BV630" s="6"/>
      <c r="BW630" s="6"/>
      <c r="BX630" s="11"/>
    </row>
    <row r="631" spans="1:76" ht="15.7">
      <c r="A631" s="6"/>
      <c r="B631" s="7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  <c r="AZ631" s="6"/>
      <c r="BA631" s="6"/>
      <c r="BB631" s="6"/>
      <c r="BC631" s="6"/>
      <c r="BD631" s="6"/>
      <c r="BE631" s="6"/>
      <c r="BF631" s="6"/>
      <c r="BG631" s="6"/>
      <c r="BH631" s="6"/>
      <c r="BI631" s="6"/>
      <c r="BJ631" s="6"/>
      <c r="BK631" s="6"/>
      <c r="BL631" s="6"/>
      <c r="BM631" s="6"/>
      <c r="BN631" s="6"/>
      <c r="BO631" s="6"/>
      <c r="BP631" s="6"/>
      <c r="BQ631" s="6"/>
      <c r="BR631" s="6"/>
      <c r="BS631" s="6"/>
      <c r="BT631" s="6"/>
      <c r="BU631" s="6"/>
      <c r="BV631" s="6"/>
      <c r="BW631" s="6"/>
      <c r="BX631" s="11"/>
    </row>
    <row r="632" spans="1:76" ht="15.7">
      <c r="A632" s="6"/>
      <c r="B632" s="7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  <c r="AZ632" s="6"/>
      <c r="BA632" s="6"/>
      <c r="BB632" s="6"/>
      <c r="BC632" s="6"/>
      <c r="BD632" s="6"/>
      <c r="BE632" s="6"/>
      <c r="BF632" s="6"/>
      <c r="BG632" s="6"/>
      <c r="BH632" s="6"/>
      <c r="BI632" s="6"/>
      <c r="BJ632" s="6"/>
      <c r="BK632" s="6"/>
      <c r="BL632" s="6"/>
      <c r="BM632" s="6"/>
      <c r="BN632" s="6"/>
      <c r="BO632" s="6"/>
      <c r="BP632" s="6"/>
      <c r="BQ632" s="6"/>
      <c r="BR632" s="6"/>
      <c r="BS632" s="6"/>
      <c r="BT632" s="6"/>
      <c r="BU632" s="6"/>
      <c r="BV632" s="6"/>
      <c r="BW632" s="6"/>
      <c r="BX632" s="11"/>
    </row>
    <row r="633" spans="1:76" ht="15.7">
      <c r="A633" s="6"/>
      <c r="B633" s="7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  <c r="AZ633" s="6"/>
      <c r="BA633" s="6"/>
      <c r="BB633" s="6"/>
      <c r="BC633" s="6"/>
      <c r="BD633" s="6"/>
      <c r="BE633" s="6"/>
      <c r="BF633" s="6"/>
      <c r="BG633" s="6"/>
      <c r="BH633" s="6"/>
      <c r="BI633" s="6"/>
      <c r="BJ633" s="6"/>
      <c r="BK633" s="6"/>
      <c r="BL633" s="6"/>
      <c r="BM633" s="6"/>
      <c r="BN633" s="6"/>
      <c r="BO633" s="6"/>
      <c r="BP633" s="6"/>
      <c r="BQ633" s="6"/>
      <c r="BR633" s="6"/>
      <c r="BS633" s="6"/>
      <c r="BT633" s="6"/>
      <c r="BU633" s="6"/>
      <c r="BV633" s="6"/>
      <c r="BW633" s="6"/>
      <c r="BX633" s="11"/>
    </row>
    <row r="634" spans="1:76" ht="15.7">
      <c r="A634" s="6"/>
      <c r="B634" s="7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  <c r="AZ634" s="6"/>
      <c r="BA634" s="6"/>
      <c r="BB634" s="6"/>
      <c r="BC634" s="6"/>
      <c r="BD634" s="6"/>
      <c r="BE634" s="6"/>
      <c r="BF634" s="6"/>
      <c r="BG634" s="6"/>
      <c r="BH634" s="6"/>
      <c r="BI634" s="6"/>
      <c r="BJ634" s="6"/>
      <c r="BK634" s="6"/>
      <c r="BL634" s="6"/>
      <c r="BM634" s="6"/>
      <c r="BN634" s="6"/>
      <c r="BO634" s="6"/>
      <c r="BP634" s="6"/>
      <c r="BQ634" s="6"/>
      <c r="BR634" s="6"/>
      <c r="BS634" s="6"/>
      <c r="BT634" s="6"/>
      <c r="BU634" s="6"/>
      <c r="BV634" s="6"/>
      <c r="BW634" s="6"/>
      <c r="BX634" s="11"/>
    </row>
    <row r="635" spans="1:76" ht="15.7">
      <c r="A635" s="6"/>
      <c r="B635" s="7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  <c r="AZ635" s="6"/>
      <c r="BA635" s="6"/>
      <c r="BB635" s="6"/>
      <c r="BC635" s="6"/>
      <c r="BD635" s="6"/>
      <c r="BE635" s="6"/>
      <c r="BF635" s="6"/>
      <c r="BG635" s="6"/>
      <c r="BH635" s="6"/>
      <c r="BI635" s="6"/>
      <c r="BJ635" s="6"/>
      <c r="BK635" s="6"/>
      <c r="BL635" s="6"/>
      <c r="BM635" s="6"/>
      <c r="BN635" s="6"/>
      <c r="BO635" s="6"/>
      <c r="BP635" s="6"/>
      <c r="BQ635" s="6"/>
      <c r="BR635" s="6"/>
      <c r="BS635" s="6"/>
      <c r="BT635" s="6"/>
      <c r="BU635" s="6"/>
      <c r="BV635" s="6"/>
      <c r="BW635" s="6"/>
      <c r="BX635" s="11"/>
    </row>
    <row r="636" spans="1:76" ht="15.7">
      <c r="A636" s="6"/>
      <c r="B636" s="7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  <c r="AZ636" s="6"/>
      <c r="BA636" s="6"/>
      <c r="BB636" s="6"/>
      <c r="BC636" s="6"/>
      <c r="BD636" s="6"/>
      <c r="BE636" s="6"/>
      <c r="BF636" s="6"/>
      <c r="BG636" s="6"/>
      <c r="BH636" s="6"/>
      <c r="BI636" s="6"/>
      <c r="BJ636" s="6"/>
      <c r="BK636" s="6"/>
      <c r="BL636" s="6"/>
      <c r="BM636" s="6"/>
      <c r="BN636" s="6"/>
      <c r="BO636" s="6"/>
      <c r="BP636" s="6"/>
      <c r="BQ636" s="6"/>
      <c r="BR636" s="6"/>
      <c r="BS636" s="6"/>
      <c r="BT636" s="6"/>
      <c r="BU636" s="6"/>
      <c r="BV636" s="6"/>
      <c r="BW636" s="6"/>
      <c r="BX636" s="11"/>
    </row>
    <row r="637" spans="1:76" ht="15.7">
      <c r="A637" s="6"/>
      <c r="B637" s="7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  <c r="AZ637" s="6"/>
      <c r="BA637" s="6"/>
      <c r="BB637" s="6"/>
      <c r="BC637" s="6"/>
      <c r="BD637" s="6"/>
      <c r="BE637" s="6"/>
      <c r="BF637" s="6"/>
      <c r="BG637" s="6"/>
      <c r="BH637" s="6"/>
      <c r="BI637" s="6"/>
      <c r="BJ637" s="6"/>
      <c r="BK637" s="6"/>
      <c r="BL637" s="6"/>
      <c r="BM637" s="6"/>
      <c r="BN637" s="6"/>
      <c r="BO637" s="6"/>
      <c r="BP637" s="6"/>
      <c r="BQ637" s="6"/>
      <c r="BR637" s="6"/>
      <c r="BS637" s="6"/>
      <c r="BT637" s="6"/>
      <c r="BU637" s="6"/>
      <c r="BV637" s="6"/>
      <c r="BW637" s="6"/>
      <c r="BX637" s="11"/>
    </row>
    <row r="638" spans="1:76" ht="15.7">
      <c r="A638" s="6"/>
      <c r="B638" s="7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  <c r="AZ638" s="6"/>
      <c r="BA638" s="6"/>
      <c r="BB638" s="6"/>
      <c r="BC638" s="6"/>
      <c r="BD638" s="6"/>
      <c r="BE638" s="6"/>
      <c r="BF638" s="6"/>
      <c r="BG638" s="6"/>
      <c r="BH638" s="6"/>
      <c r="BI638" s="6"/>
      <c r="BJ638" s="6"/>
      <c r="BK638" s="6"/>
      <c r="BL638" s="6"/>
      <c r="BM638" s="6"/>
      <c r="BN638" s="6"/>
      <c r="BO638" s="6"/>
      <c r="BP638" s="6"/>
      <c r="BQ638" s="6"/>
      <c r="BR638" s="6"/>
      <c r="BS638" s="6"/>
      <c r="BT638" s="6"/>
      <c r="BU638" s="6"/>
      <c r="BV638" s="6"/>
      <c r="BW638" s="6"/>
      <c r="BX638" s="11"/>
    </row>
    <row r="639" spans="1:76" ht="15.7">
      <c r="A639" s="6"/>
      <c r="B639" s="7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  <c r="AZ639" s="6"/>
      <c r="BA639" s="6"/>
      <c r="BB639" s="6"/>
      <c r="BC639" s="6"/>
      <c r="BD639" s="6"/>
      <c r="BE639" s="6"/>
      <c r="BF639" s="6"/>
      <c r="BG639" s="6"/>
      <c r="BH639" s="6"/>
      <c r="BI639" s="6"/>
      <c r="BJ639" s="6"/>
      <c r="BK639" s="6"/>
      <c r="BL639" s="6"/>
      <c r="BM639" s="6"/>
      <c r="BN639" s="6"/>
      <c r="BO639" s="6"/>
      <c r="BP639" s="6"/>
      <c r="BQ639" s="6"/>
      <c r="BR639" s="6"/>
      <c r="BS639" s="6"/>
      <c r="BT639" s="6"/>
      <c r="BU639" s="6"/>
      <c r="BV639" s="6"/>
      <c r="BW639" s="6"/>
      <c r="BX639" s="11"/>
    </row>
    <row r="640" spans="1:76" ht="15.7">
      <c r="A640" s="6"/>
      <c r="B640" s="7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  <c r="AZ640" s="6"/>
      <c r="BA640" s="6"/>
      <c r="BB640" s="6"/>
      <c r="BC640" s="6"/>
      <c r="BD640" s="6"/>
      <c r="BE640" s="6"/>
      <c r="BF640" s="6"/>
      <c r="BG640" s="6"/>
      <c r="BH640" s="6"/>
      <c r="BI640" s="6"/>
      <c r="BJ640" s="6"/>
      <c r="BK640" s="6"/>
      <c r="BL640" s="6"/>
      <c r="BM640" s="6"/>
      <c r="BN640" s="6"/>
      <c r="BO640" s="6"/>
      <c r="BP640" s="6"/>
      <c r="BQ640" s="6"/>
      <c r="BR640" s="6"/>
      <c r="BS640" s="6"/>
      <c r="BT640" s="6"/>
      <c r="BU640" s="6"/>
      <c r="BV640" s="6"/>
      <c r="BW640" s="6"/>
      <c r="BX640" s="11"/>
    </row>
    <row r="641" spans="1:76" ht="15.7">
      <c r="A641" s="6"/>
      <c r="B641" s="7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  <c r="AZ641" s="6"/>
      <c r="BA641" s="6"/>
      <c r="BB641" s="6"/>
      <c r="BC641" s="6"/>
      <c r="BD641" s="6"/>
      <c r="BE641" s="6"/>
      <c r="BF641" s="6"/>
      <c r="BG641" s="6"/>
      <c r="BH641" s="6"/>
      <c r="BI641" s="6"/>
      <c r="BJ641" s="6"/>
      <c r="BK641" s="6"/>
      <c r="BL641" s="6"/>
      <c r="BM641" s="6"/>
      <c r="BN641" s="6"/>
      <c r="BO641" s="6"/>
      <c r="BP641" s="6"/>
      <c r="BQ641" s="6"/>
      <c r="BR641" s="6"/>
      <c r="BS641" s="6"/>
      <c r="BT641" s="6"/>
      <c r="BU641" s="6"/>
      <c r="BV641" s="6"/>
      <c r="BW641" s="6"/>
      <c r="BX641" s="11"/>
    </row>
    <row r="642" spans="1:76" ht="15.7">
      <c r="A642" s="6"/>
      <c r="B642" s="7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  <c r="AZ642" s="6"/>
      <c r="BA642" s="6"/>
      <c r="BB642" s="6"/>
      <c r="BC642" s="6"/>
      <c r="BD642" s="6"/>
      <c r="BE642" s="6"/>
      <c r="BF642" s="6"/>
      <c r="BG642" s="6"/>
      <c r="BH642" s="6"/>
      <c r="BI642" s="6"/>
      <c r="BJ642" s="6"/>
      <c r="BK642" s="6"/>
      <c r="BL642" s="6"/>
      <c r="BM642" s="6"/>
      <c r="BN642" s="6"/>
      <c r="BO642" s="6"/>
      <c r="BP642" s="6"/>
      <c r="BQ642" s="6"/>
      <c r="BR642" s="6"/>
      <c r="BS642" s="6"/>
      <c r="BT642" s="6"/>
      <c r="BU642" s="6"/>
      <c r="BV642" s="6"/>
      <c r="BW642" s="6"/>
      <c r="BX642" s="11"/>
    </row>
    <row r="643" spans="1:76" ht="15.7">
      <c r="A643" s="6"/>
      <c r="B643" s="7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  <c r="AZ643" s="6"/>
      <c r="BA643" s="6"/>
      <c r="BB643" s="6"/>
      <c r="BC643" s="6"/>
      <c r="BD643" s="6"/>
      <c r="BE643" s="6"/>
      <c r="BF643" s="6"/>
      <c r="BG643" s="6"/>
      <c r="BH643" s="6"/>
      <c r="BI643" s="6"/>
      <c r="BJ643" s="6"/>
      <c r="BK643" s="6"/>
      <c r="BL643" s="6"/>
      <c r="BM643" s="6"/>
      <c r="BN643" s="6"/>
      <c r="BO643" s="6"/>
      <c r="BP643" s="6"/>
      <c r="BQ643" s="6"/>
      <c r="BR643" s="6"/>
      <c r="BS643" s="6"/>
      <c r="BT643" s="6"/>
      <c r="BU643" s="6"/>
      <c r="BV643" s="6"/>
      <c r="BW643" s="6"/>
      <c r="BX643" s="11"/>
    </row>
    <row r="644" spans="1:76" ht="15.7">
      <c r="A644" s="6"/>
      <c r="B644" s="7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  <c r="AZ644" s="6"/>
      <c r="BA644" s="6"/>
      <c r="BB644" s="6"/>
      <c r="BC644" s="6"/>
      <c r="BD644" s="6"/>
      <c r="BE644" s="6"/>
      <c r="BF644" s="6"/>
      <c r="BG644" s="6"/>
      <c r="BH644" s="6"/>
      <c r="BI644" s="6"/>
      <c r="BJ644" s="6"/>
      <c r="BK644" s="6"/>
      <c r="BL644" s="6"/>
      <c r="BM644" s="6"/>
      <c r="BN644" s="6"/>
      <c r="BO644" s="6"/>
      <c r="BP644" s="6"/>
      <c r="BQ644" s="6"/>
      <c r="BR644" s="6"/>
      <c r="BS644" s="6"/>
      <c r="BT644" s="6"/>
      <c r="BU644" s="6"/>
      <c r="BV644" s="6"/>
      <c r="BW644" s="6"/>
      <c r="BX644" s="11"/>
    </row>
    <row r="645" spans="1:76" ht="15.7">
      <c r="A645" s="6"/>
      <c r="B645" s="7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  <c r="AZ645" s="6"/>
      <c r="BA645" s="6"/>
      <c r="BB645" s="6"/>
      <c r="BC645" s="6"/>
      <c r="BD645" s="6"/>
      <c r="BE645" s="6"/>
      <c r="BF645" s="6"/>
      <c r="BG645" s="6"/>
      <c r="BH645" s="6"/>
      <c r="BI645" s="6"/>
      <c r="BJ645" s="6"/>
      <c r="BK645" s="6"/>
      <c r="BL645" s="6"/>
      <c r="BM645" s="6"/>
      <c r="BN645" s="6"/>
      <c r="BO645" s="6"/>
      <c r="BP645" s="6"/>
      <c r="BQ645" s="6"/>
      <c r="BR645" s="6"/>
      <c r="BS645" s="6"/>
      <c r="BT645" s="6"/>
      <c r="BU645" s="6"/>
      <c r="BV645" s="6"/>
      <c r="BW645" s="6"/>
      <c r="BX645" s="11"/>
    </row>
    <row r="646" spans="1:76" ht="15.7">
      <c r="A646" s="6"/>
      <c r="B646" s="7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  <c r="AZ646" s="6"/>
      <c r="BA646" s="6"/>
      <c r="BB646" s="6"/>
      <c r="BC646" s="6"/>
      <c r="BD646" s="6"/>
      <c r="BE646" s="6"/>
      <c r="BF646" s="6"/>
      <c r="BG646" s="6"/>
      <c r="BH646" s="6"/>
      <c r="BI646" s="6"/>
      <c r="BJ646" s="6"/>
      <c r="BK646" s="6"/>
      <c r="BL646" s="6"/>
      <c r="BM646" s="6"/>
      <c r="BN646" s="6"/>
      <c r="BO646" s="6"/>
      <c r="BP646" s="6"/>
      <c r="BQ646" s="6"/>
      <c r="BR646" s="6"/>
      <c r="BS646" s="6"/>
      <c r="BT646" s="6"/>
      <c r="BU646" s="6"/>
      <c r="BV646" s="6"/>
      <c r="BW646" s="6"/>
      <c r="BX646" s="11"/>
    </row>
    <row r="647" spans="1:76" ht="15.7">
      <c r="A647" s="6"/>
      <c r="B647" s="7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  <c r="AZ647" s="6"/>
      <c r="BA647" s="6"/>
      <c r="BB647" s="6"/>
      <c r="BC647" s="6"/>
      <c r="BD647" s="6"/>
      <c r="BE647" s="6"/>
      <c r="BF647" s="6"/>
      <c r="BG647" s="6"/>
      <c r="BH647" s="6"/>
      <c r="BI647" s="6"/>
      <c r="BJ647" s="6"/>
      <c r="BK647" s="6"/>
      <c r="BL647" s="6"/>
      <c r="BM647" s="6"/>
      <c r="BN647" s="6"/>
      <c r="BO647" s="6"/>
      <c r="BP647" s="6"/>
      <c r="BQ647" s="6"/>
      <c r="BR647" s="6"/>
      <c r="BS647" s="6"/>
      <c r="BT647" s="6"/>
      <c r="BU647" s="6"/>
      <c r="BV647" s="6"/>
      <c r="BW647" s="6"/>
      <c r="BX647" s="11"/>
    </row>
    <row r="648" spans="1:76" ht="15.7">
      <c r="A648" s="6"/>
      <c r="B648" s="7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  <c r="AZ648" s="6"/>
      <c r="BA648" s="6"/>
      <c r="BB648" s="6"/>
      <c r="BC648" s="6"/>
      <c r="BD648" s="6"/>
      <c r="BE648" s="6"/>
      <c r="BF648" s="6"/>
      <c r="BG648" s="6"/>
      <c r="BH648" s="6"/>
      <c r="BI648" s="6"/>
      <c r="BJ648" s="6"/>
      <c r="BK648" s="6"/>
      <c r="BL648" s="6"/>
      <c r="BM648" s="6"/>
      <c r="BN648" s="6"/>
      <c r="BO648" s="6"/>
      <c r="BP648" s="6"/>
      <c r="BQ648" s="6"/>
      <c r="BR648" s="6"/>
      <c r="BS648" s="6"/>
      <c r="BT648" s="6"/>
      <c r="BU648" s="6"/>
      <c r="BV648" s="6"/>
      <c r="BW648" s="6"/>
      <c r="BX648" s="11"/>
    </row>
    <row r="649" spans="1:76" ht="15.7">
      <c r="A649" s="6"/>
      <c r="B649" s="7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  <c r="AZ649" s="6"/>
      <c r="BA649" s="6"/>
      <c r="BB649" s="6"/>
      <c r="BC649" s="6"/>
      <c r="BD649" s="6"/>
      <c r="BE649" s="6"/>
      <c r="BF649" s="6"/>
      <c r="BG649" s="6"/>
      <c r="BH649" s="6"/>
      <c r="BI649" s="6"/>
      <c r="BJ649" s="6"/>
      <c r="BK649" s="6"/>
      <c r="BL649" s="6"/>
      <c r="BM649" s="6"/>
      <c r="BN649" s="6"/>
      <c r="BO649" s="6"/>
      <c r="BP649" s="6"/>
      <c r="BQ649" s="6"/>
      <c r="BR649" s="6"/>
      <c r="BS649" s="6"/>
      <c r="BT649" s="6"/>
      <c r="BU649" s="6"/>
      <c r="BV649" s="6"/>
      <c r="BW649" s="6"/>
      <c r="BX649" s="11"/>
    </row>
    <row r="650" spans="1:76" ht="15.7">
      <c r="A650" s="6"/>
      <c r="B650" s="7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  <c r="AZ650" s="6"/>
      <c r="BA650" s="6"/>
      <c r="BB650" s="6"/>
      <c r="BC650" s="6"/>
      <c r="BD650" s="6"/>
      <c r="BE650" s="6"/>
      <c r="BF650" s="6"/>
      <c r="BG650" s="6"/>
      <c r="BH650" s="6"/>
      <c r="BI650" s="6"/>
      <c r="BJ650" s="6"/>
      <c r="BK650" s="6"/>
      <c r="BL650" s="6"/>
      <c r="BM650" s="6"/>
      <c r="BN650" s="6"/>
      <c r="BO650" s="6"/>
      <c r="BP650" s="6"/>
      <c r="BQ650" s="6"/>
      <c r="BR650" s="6"/>
      <c r="BS650" s="6"/>
      <c r="BT650" s="6"/>
      <c r="BU650" s="6"/>
      <c r="BV650" s="6"/>
      <c r="BW650" s="6"/>
      <c r="BX650" s="11"/>
    </row>
    <row r="651" spans="1:76" ht="15.7">
      <c r="A651" s="6"/>
      <c r="B651" s="7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  <c r="AZ651" s="6"/>
      <c r="BA651" s="6"/>
      <c r="BB651" s="6"/>
      <c r="BC651" s="6"/>
      <c r="BD651" s="6"/>
      <c r="BE651" s="6"/>
      <c r="BF651" s="6"/>
      <c r="BG651" s="6"/>
      <c r="BH651" s="6"/>
      <c r="BI651" s="6"/>
      <c r="BJ651" s="6"/>
      <c r="BK651" s="6"/>
      <c r="BL651" s="6"/>
      <c r="BM651" s="6"/>
      <c r="BN651" s="6"/>
      <c r="BO651" s="6"/>
      <c r="BP651" s="6"/>
      <c r="BQ651" s="6"/>
      <c r="BR651" s="6"/>
      <c r="BS651" s="6"/>
      <c r="BT651" s="6"/>
      <c r="BU651" s="6"/>
      <c r="BV651" s="6"/>
      <c r="BW651" s="6"/>
      <c r="BX651" s="11"/>
    </row>
    <row r="652" spans="1:76" ht="15.7">
      <c r="A652" s="6"/>
      <c r="B652" s="7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  <c r="AZ652" s="6"/>
      <c r="BA652" s="6"/>
      <c r="BB652" s="6"/>
      <c r="BC652" s="6"/>
      <c r="BD652" s="6"/>
      <c r="BE652" s="6"/>
      <c r="BF652" s="6"/>
      <c r="BG652" s="6"/>
      <c r="BH652" s="6"/>
      <c r="BI652" s="6"/>
      <c r="BJ652" s="6"/>
      <c r="BK652" s="6"/>
      <c r="BL652" s="6"/>
      <c r="BM652" s="6"/>
      <c r="BN652" s="6"/>
      <c r="BO652" s="6"/>
      <c r="BP652" s="6"/>
      <c r="BQ652" s="6"/>
      <c r="BR652" s="6"/>
      <c r="BS652" s="6"/>
      <c r="BT652" s="6"/>
      <c r="BU652" s="6"/>
      <c r="BV652" s="6"/>
      <c r="BW652" s="6"/>
      <c r="BX652" s="11"/>
    </row>
    <row r="653" spans="1:76" ht="15.7">
      <c r="A653" s="6"/>
      <c r="B653" s="7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  <c r="AZ653" s="6"/>
      <c r="BA653" s="6"/>
      <c r="BB653" s="6"/>
      <c r="BC653" s="6"/>
      <c r="BD653" s="6"/>
      <c r="BE653" s="6"/>
      <c r="BF653" s="6"/>
      <c r="BG653" s="6"/>
      <c r="BH653" s="6"/>
      <c r="BI653" s="6"/>
      <c r="BJ653" s="6"/>
      <c r="BK653" s="6"/>
      <c r="BL653" s="6"/>
      <c r="BM653" s="6"/>
      <c r="BN653" s="6"/>
      <c r="BO653" s="6"/>
      <c r="BP653" s="6"/>
      <c r="BQ653" s="6"/>
      <c r="BR653" s="6"/>
      <c r="BS653" s="6"/>
      <c r="BT653" s="6"/>
      <c r="BU653" s="6"/>
      <c r="BV653" s="6"/>
      <c r="BW653" s="6"/>
      <c r="BX653" s="11"/>
    </row>
    <row r="654" spans="1:76" ht="15.7">
      <c r="A654" s="6"/>
      <c r="B654" s="7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  <c r="AZ654" s="6"/>
      <c r="BA654" s="6"/>
      <c r="BB654" s="6"/>
      <c r="BC654" s="6"/>
      <c r="BD654" s="6"/>
      <c r="BE654" s="6"/>
      <c r="BF654" s="6"/>
      <c r="BG654" s="6"/>
      <c r="BH654" s="6"/>
      <c r="BI654" s="6"/>
      <c r="BJ654" s="6"/>
      <c r="BK654" s="6"/>
      <c r="BL654" s="6"/>
      <c r="BM654" s="6"/>
      <c r="BN654" s="6"/>
      <c r="BO654" s="6"/>
      <c r="BP654" s="6"/>
      <c r="BQ654" s="6"/>
      <c r="BR654" s="6"/>
      <c r="BS654" s="6"/>
      <c r="BT654" s="6"/>
      <c r="BU654" s="6"/>
      <c r="BV654" s="6"/>
      <c r="BW654" s="6"/>
      <c r="BX654" s="11"/>
    </row>
    <row r="655" spans="1:76" ht="15.7">
      <c r="A655" s="6"/>
      <c r="B655" s="7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  <c r="AZ655" s="6"/>
      <c r="BA655" s="6"/>
      <c r="BB655" s="6"/>
      <c r="BC655" s="6"/>
      <c r="BD655" s="6"/>
      <c r="BE655" s="6"/>
      <c r="BF655" s="6"/>
      <c r="BG655" s="6"/>
      <c r="BH655" s="6"/>
      <c r="BI655" s="6"/>
      <c r="BJ655" s="6"/>
      <c r="BK655" s="6"/>
      <c r="BL655" s="6"/>
      <c r="BM655" s="6"/>
      <c r="BN655" s="6"/>
      <c r="BO655" s="6"/>
      <c r="BP655" s="6"/>
      <c r="BQ655" s="6"/>
      <c r="BR655" s="6"/>
      <c r="BS655" s="6"/>
      <c r="BT655" s="6"/>
      <c r="BU655" s="6"/>
      <c r="BV655" s="6"/>
      <c r="BW655" s="6"/>
      <c r="BX655" s="11"/>
    </row>
    <row r="656" spans="1:76" ht="15.7">
      <c r="A656" s="6"/>
      <c r="B656" s="7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  <c r="AZ656" s="6"/>
      <c r="BA656" s="6"/>
      <c r="BB656" s="6"/>
      <c r="BC656" s="6"/>
      <c r="BD656" s="6"/>
      <c r="BE656" s="6"/>
      <c r="BF656" s="6"/>
      <c r="BG656" s="6"/>
      <c r="BH656" s="6"/>
      <c r="BI656" s="6"/>
      <c r="BJ656" s="6"/>
      <c r="BK656" s="6"/>
      <c r="BL656" s="6"/>
      <c r="BM656" s="6"/>
      <c r="BN656" s="6"/>
      <c r="BO656" s="6"/>
      <c r="BP656" s="6"/>
      <c r="BQ656" s="6"/>
      <c r="BR656" s="6"/>
      <c r="BS656" s="6"/>
      <c r="BT656" s="6"/>
      <c r="BU656" s="6"/>
      <c r="BV656" s="6"/>
      <c r="BW656" s="6"/>
      <c r="BX656" s="11"/>
    </row>
    <row r="657" spans="1:76" ht="15.7">
      <c r="A657" s="6"/>
      <c r="B657" s="7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  <c r="AZ657" s="6"/>
      <c r="BA657" s="6"/>
      <c r="BB657" s="6"/>
      <c r="BC657" s="6"/>
      <c r="BD657" s="6"/>
      <c r="BE657" s="6"/>
      <c r="BF657" s="6"/>
      <c r="BG657" s="6"/>
      <c r="BH657" s="6"/>
      <c r="BI657" s="6"/>
      <c r="BJ657" s="6"/>
      <c r="BK657" s="6"/>
      <c r="BL657" s="6"/>
      <c r="BM657" s="6"/>
      <c r="BN657" s="6"/>
      <c r="BO657" s="6"/>
      <c r="BP657" s="6"/>
      <c r="BQ657" s="6"/>
      <c r="BR657" s="6"/>
      <c r="BS657" s="6"/>
      <c r="BT657" s="6"/>
      <c r="BU657" s="6"/>
      <c r="BV657" s="6"/>
      <c r="BW657" s="6"/>
      <c r="BX657" s="11"/>
    </row>
    <row r="658" spans="1:76" ht="15.7">
      <c r="A658" s="6"/>
      <c r="B658" s="7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  <c r="AZ658" s="6"/>
      <c r="BA658" s="6"/>
      <c r="BB658" s="6"/>
      <c r="BC658" s="6"/>
      <c r="BD658" s="6"/>
      <c r="BE658" s="6"/>
      <c r="BF658" s="6"/>
      <c r="BG658" s="6"/>
      <c r="BH658" s="6"/>
      <c r="BI658" s="6"/>
      <c r="BJ658" s="6"/>
      <c r="BK658" s="6"/>
      <c r="BL658" s="6"/>
      <c r="BM658" s="6"/>
      <c r="BN658" s="6"/>
      <c r="BO658" s="6"/>
      <c r="BP658" s="6"/>
      <c r="BQ658" s="6"/>
      <c r="BR658" s="6"/>
      <c r="BS658" s="6"/>
      <c r="BT658" s="6"/>
      <c r="BU658" s="6"/>
      <c r="BV658" s="6"/>
      <c r="BW658" s="6"/>
      <c r="BX658" s="11"/>
    </row>
    <row r="659" spans="1:76" ht="15.7">
      <c r="A659" s="6"/>
      <c r="B659" s="7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  <c r="AZ659" s="6"/>
      <c r="BA659" s="6"/>
      <c r="BB659" s="6"/>
      <c r="BC659" s="6"/>
      <c r="BD659" s="6"/>
      <c r="BE659" s="6"/>
      <c r="BF659" s="6"/>
      <c r="BG659" s="6"/>
      <c r="BH659" s="6"/>
      <c r="BI659" s="6"/>
      <c r="BJ659" s="6"/>
      <c r="BK659" s="6"/>
      <c r="BL659" s="6"/>
      <c r="BM659" s="6"/>
      <c r="BN659" s="6"/>
      <c r="BO659" s="6"/>
      <c r="BP659" s="6"/>
      <c r="BQ659" s="6"/>
      <c r="BR659" s="6"/>
      <c r="BS659" s="6"/>
      <c r="BT659" s="6"/>
      <c r="BU659" s="6"/>
      <c r="BV659" s="6"/>
      <c r="BW659" s="6"/>
      <c r="BX659" s="11"/>
    </row>
    <row r="660" spans="1:76" ht="15.7">
      <c r="A660" s="6"/>
      <c r="B660" s="7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  <c r="AZ660" s="6"/>
      <c r="BA660" s="6"/>
      <c r="BB660" s="6"/>
      <c r="BC660" s="6"/>
      <c r="BD660" s="6"/>
      <c r="BE660" s="6"/>
      <c r="BF660" s="6"/>
      <c r="BG660" s="6"/>
      <c r="BH660" s="6"/>
      <c r="BI660" s="6"/>
      <c r="BJ660" s="6"/>
      <c r="BK660" s="6"/>
      <c r="BL660" s="6"/>
      <c r="BM660" s="6"/>
      <c r="BN660" s="6"/>
      <c r="BO660" s="6"/>
      <c r="BP660" s="6"/>
      <c r="BQ660" s="6"/>
      <c r="BR660" s="6"/>
      <c r="BS660" s="6"/>
      <c r="BT660" s="6"/>
      <c r="BU660" s="6"/>
      <c r="BV660" s="6"/>
      <c r="BW660" s="6"/>
      <c r="BX660" s="11"/>
    </row>
    <row r="661" spans="1:76" ht="15.7">
      <c r="A661" s="6"/>
      <c r="B661" s="7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  <c r="AZ661" s="6"/>
      <c r="BA661" s="6"/>
      <c r="BB661" s="6"/>
      <c r="BC661" s="6"/>
      <c r="BD661" s="6"/>
      <c r="BE661" s="6"/>
      <c r="BF661" s="6"/>
      <c r="BG661" s="6"/>
      <c r="BH661" s="6"/>
      <c r="BI661" s="6"/>
      <c r="BJ661" s="6"/>
      <c r="BK661" s="6"/>
      <c r="BL661" s="6"/>
      <c r="BM661" s="6"/>
      <c r="BN661" s="6"/>
      <c r="BO661" s="6"/>
      <c r="BP661" s="6"/>
      <c r="BQ661" s="6"/>
      <c r="BR661" s="6"/>
      <c r="BS661" s="6"/>
      <c r="BT661" s="6"/>
      <c r="BU661" s="6"/>
      <c r="BV661" s="6"/>
      <c r="BW661" s="6"/>
      <c r="BX661" s="11"/>
    </row>
    <row r="662" spans="1:76" ht="15.7">
      <c r="A662" s="6"/>
      <c r="B662" s="7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  <c r="AZ662" s="6"/>
      <c r="BA662" s="6"/>
      <c r="BB662" s="6"/>
      <c r="BC662" s="6"/>
      <c r="BD662" s="6"/>
      <c r="BE662" s="6"/>
      <c r="BF662" s="6"/>
      <c r="BG662" s="6"/>
      <c r="BH662" s="6"/>
      <c r="BI662" s="6"/>
      <c r="BJ662" s="6"/>
      <c r="BK662" s="6"/>
      <c r="BL662" s="6"/>
      <c r="BM662" s="6"/>
      <c r="BN662" s="6"/>
      <c r="BO662" s="6"/>
      <c r="BP662" s="6"/>
      <c r="BQ662" s="6"/>
      <c r="BR662" s="6"/>
      <c r="BS662" s="6"/>
      <c r="BT662" s="6"/>
      <c r="BU662" s="6"/>
      <c r="BV662" s="6"/>
      <c r="BW662" s="6"/>
      <c r="BX662" s="11"/>
    </row>
    <row r="663" spans="1:76" ht="15.7">
      <c r="A663" s="6"/>
      <c r="B663" s="7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  <c r="AZ663" s="6"/>
      <c r="BA663" s="6"/>
      <c r="BB663" s="6"/>
      <c r="BC663" s="6"/>
      <c r="BD663" s="6"/>
      <c r="BE663" s="6"/>
      <c r="BF663" s="6"/>
      <c r="BG663" s="6"/>
      <c r="BH663" s="6"/>
      <c r="BI663" s="6"/>
      <c r="BJ663" s="6"/>
      <c r="BK663" s="6"/>
      <c r="BL663" s="6"/>
      <c r="BM663" s="6"/>
      <c r="BN663" s="6"/>
      <c r="BO663" s="6"/>
      <c r="BP663" s="6"/>
      <c r="BQ663" s="6"/>
      <c r="BR663" s="6"/>
      <c r="BS663" s="6"/>
      <c r="BT663" s="6"/>
      <c r="BU663" s="6"/>
      <c r="BV663" s="6"/>
      <c r="BW663" s="6"/>
      <c r="BX663" s="11"/>
    </row>
    <row r="664" spans="1:76" ht="15.7">
      <c r="A664" s="6"/>
      <c r="B664" s="7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  <c r="AZ664" s="6"/>
      <c r="BA664" s="6"/>
      <c r="BB664" s="6"/>
      <c r="BC664" s="6"/>
      <c r="BD664" s="6"/>
      <c r="BE664" s="6"/>
      <c r="BF664" s="6"/>
      <c r="BG664" s="6"/>
      <c r="BH664" s="6"/>
      <c r="BI664" s="6"/>
      <c r="BJ664" s="6"/>
      <c r="BK664" s="6"/>
      <c r="BL664" s="6"/>
      <c r="BM664" s="6"/>
      <c r="BN664" s="6"/>
      <c r="BO664" s="6"/>
      <c r="BP664" s="6"/>
      <c r="BQ664" s="6"/>
      <c r="BR664" s="6"/>
      <c r="BS664" s="6"/>
      <c r="BT664" s="6"/>
      <c r="BU664" s="6"/>
      <c r="BV664" s="6"/>
      <c r="BW664" s="6"/>
      <c r="BX664" s="11"/>
    </row>
    <row r="665" spans="1:76" ht="15.7">
      <c r="A665" s="6"/>
      <c r="B665" s="7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  <c r="AZ665" s="6"/>
      <c r="BA665" s="6"/>
      <c r="BB665" s="6"/>
      <c r="BC665" s="6"/>
      <c r="BD665" s="6"/>
      <c r="BE665" s="6"/>
      <c r="BF665" s="6"/>
      <c r="BG665" s="6"/>
      <c r="BH665" s="6"/>
      <c r="BI665" s="6"/>
      <c r="BJ665" s="6"/>
      <c r="BK665" s="6"/>
      <c r="BL665" s="6"/>
      <c r="BM665" s="6"/>
      <c r="BN665" s="6"/>
      <c r="BO665" s="6"/>
      <c r="BP665" s="6"/>
      <c r="BQ665" s="6"/>
      <c r="BR665" s="6"/>
      <c r="BS665" s="6"/>
      <c r="BT665" s="6"/>
      <c r="BU665" s="6"/>
      <c r="BV665" s="6"/>
      <c r="BW665" s="6"/>
      <c r="BX665" s="11"/>
    </row>
    <row r="666" spans="1:76" ht="15.7">
      <c r="A666" s="6"/>
      <c r="B666" s="7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  <c r="AZ666" s="6"/>
      <c r="BA666" s="6"/>
      <c r="BB666" s="6"/>
      <c r="BC666" s="6"/>
      <c r="BD666" s="6"/>
      <c r="BE666" s="6"/>
      <c r="BF666" s="6"/>
      <c r="BG666" s="6"/>
      <c r="BH666" s="6"/>
      <c r="BI666" s="6"/>
      <c r="BJ666" s="6"/>
      <c r="BK666" s="6"/>
      <c r="BL666" s="6"/>
      <c r="BM666" s="6"/>
      <c r="BN666" s="6"/>
      <c r="BO666" s="6"/>
      <c r="BP666" s="6"/>
      <c r="BQ666" s="6"/>
      <c r="BR666" s="6"/>
      <c r="BS666" s="6"/>
      <c r="BT666" s="6"/>
      <c r="BU666" s="6"/>
      <c r="BV666" s="6"/>
      <c r="BW666" s="6"/>
      <c r="BX666" s="11"/>
    </row>
    <row r="667" spans="1:76" ht="15.7">
      <c r="A667" s="6"/>
      <c r="B667" s="7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  <c r="AZ667" s="6"/>
      <c r="BA667" s="6"/>
      <c r="BB667" s="6"/>
      <c r="BC667" s="6"/>
      <c r="BD667" s="6"/>
      <c r="BE667" s="6"/>
      <c r="BF667" s="6"/>
      <c r="BG667" s="6"/>
      <c r="BH667" s="6"/>
      <c r="BI667" s="6"/>
      <c r="BJ667" s="6"/>
      <c r="BK667" s="6"/>
      <c r="BL667" s="6"/>
      <c r="BM667" s="6"/>
      <c r="BN667" s="6"/>
      <c r="BO667" s="6"/>
      <c r="BP667" s="6"/>
      <c r="BQ667" s="6"/>
      <c r="BR667" s="6"/>
      <c r="BS667" s="6"/>
      <c r="BT667" s="6"/>
      <c r="BU667" s="6"/>
      <c r="BV667" s="6"/>
      <c r="BW667" s="6"/>
      <c r="BX667" s="11"/>
    </row>
    <row r="668" spans="1:76" ht="15.7">
      <c r="A668" s="6"/>
      <c r="B668" s="7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  <c r="AZ668" s="6"/>
      <c r="BA668" s="6"/>
      <c r="BB668" s="6"/>
      <c r="BC668" s="6"/>
      <c r="BD668" s="6"/>
      <c r="BE668" s="6"/>
      <c r="BF668" s="6"/>
      <c r="BG668" s="6"/>
      <c r="BH668" s="6"/>
      <c r="BI668" s="6"/>
      <c r="BJ668" s="6"/>
      <c r="BK668" s="6"/>
      <c r="BL668" s="6"/>
      <c r="BM668" s="6"/>
      <c r="BN668" s="6"/>
      <c r="BO668" s="6"/>
      <c r="BP668" s="6"/>
      <c r="BQ668" s="6"/>
      <c r="BR668" s="6"/>
      <c r="BS668" s="6"/>
      <c r="BT668" s="6"/>
      <c r="BU668" s="6"/>
      <c r="BV668" s="6"/>
      <c r="BW668" s="6"/>
      <c r="BX668" s="11"/>
    </row>
    <row r="669" spans="1:76" ht="15.7">
      <c r="A669" s="6"/>
      <c r="B669" s="7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  <c r="AZ669" s="6"/>
      <c r="BA669" s="6"/>
      <c r="BB669" s="6"/>
      <c r="BC669" s="6"/>
      <c r="BD669" s="6"/>
      <c r="BE669" s="6"/>
      <c r="BF669" s="6"/>
      <c r="BG669" s="6"/>
      <c r="BH669" s="6"/>
      <c r="BI669" s="6"/>
      <c r="BJ669" s="6"/>
      <c r="BK669" s="6"/>
      <c r="BL669" s="6"/>
      <c r="BM669" s="6"/>
      <c r="BN669" s="6"/>
      <c r="BO669" s="6"/>
      <c r="BP669" s="6"/>
      <c r="BQ669" s="6"/>
      <c r="BR669" s="6"/>
      <c r="BS669" s="6"/>
      <c r="BT669" s="6"/>
      <c r="BU669" s="6"/>
      <c r="BV669" s="6"/>
      <c r="BW669" s="6"/>
      <c r="BX669" s="11"/>
    </row>
    <row r="670" spans="1:76" ht="15.7">
      <c r="A670" s="6"/>
      <c r="B670" s="7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  <c r="AZ670" s="6"/>
      <c r="BA670" s="6"/>
      <c r="BB670" s="6"/>
      <c r="BC670" s="6"/>
      <c r="BD670" s="6"/>
      <c r="BE670" s="6"/>
      <c r="BF670" s="6"/>
      <c r="BG670" s="6"/>
      <c r="BH670" s="6"/>
      <c r="BI670" s="6"/>
      <c r="BJ670" s="6"/>
      <c r="BK670" s="6"/>
      <c r="BL670" s="6"/>
      <c r="BM670" s="6"/>
      <c r="BN670" s="6"/>
      <c r="BO670" s="6"/>
      <c r="BP670" s="6"/>
      <c r="BQ670" s="6"/>
      <c r="BR670" s="6"/>
      <c r="BS670" s="6"/>
      <c r="BT670" s="6"/>
      <c r="BU670" s="6"/>
      <c r="BV670" s="6"/>
      <c r="BW670" s="6"/>
      <c r="BX670" s="11"/>
    </row>
    <row r="671" spans="1:76" ht="15.7">
      <c r="A671" s="6"/>
      <c r="B671" s="7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  <c r="AZ671" s="6"/>
      <c r="BA671" s="6"/>
      <c r="BB671" s="6"/>
      <c r="BC671" s="6"/>
      <c r="BD671" s="6"/>
      <c r="BE671" s="6"/>
      <c r="BF671" s="6"/>
      <c r="BG671" s="6"/>
      <c r="BH671" s="6"/>
      <c r="BI671" s="6"/>
      <c r="BJ671" s="6"/>
      <c r="BK671" s="6"/>
      <c r="BL671" s="6"/>
      <c r="BM671" s="6"/>
      <c r="BN671" s="6"/>
      <c r="BO671" s="6"/>
      <c r="BP671" s="6"/>
      <c r="BQ671" s="6"/>
      <c r="BR671" s="6"/>
      <c r="BS671" s="6"/>
      <c r="BT671" s="6"/>
      <c r="BU671" s="6"/>
      <c r="BV671" s="6"/>
      <c r="BW671" s="6"/>
      <c r="BX671" s="11"/>
    </row>
    <row r="672" spans="1:76" ht="15.7">
      <c r="A672" s="6"/>
      <c r="B672" s="7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  <c r="AZ672" s="6"/>
      <c r="BA672" s="6"/>
      <c r="BB672" s="6"/>
      <c r="BC672" s="6"/>
      <c r="BD672" s="6"/>
      <c r="BE672" s="6"/>
      <c r="BF672" s="6"/>
      <c r="BG672" s="6"/>
      <c r="BH672" s="6"/>
      <c r="BI672" s="6"/>
      <c r="BJ672" s="6"/>
      <c r="BK672" s="6"/>
      <c r="BL672" s="6"/>
      <c r="BM672" s="6"/>
      <c r="BN672" s="6"/>
      <c r="BO672" s="6"/>
      <c r="BP672" s="6"/>
      <c r="BQ672" s="6"/>
      <c r="BR672" s="6"/>
      <c r="BS672" s="6"/>
      <c r="BT672" s="6"/>
      <c r="BU672" s="6"/>
      <c r="BV672" s="6"/>
      <c r="BW672" s="6"/>
      <c r="BX672" s="11"/>
    </row>
    <row r="673" spans="1:76" ht="15.7">
      <c r="A673" s="6"/>
      <c r="B673" s="7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  <c r="AZ673" s="6"/>
      <c r="BA673" s="6"/>
      <c r="BB673" s="6"/>
      <c r="BC673" s="6"/>
      <c r="BD673" s="6"/>
      <c r="BE673" s="6"/>
      <c r="BF673" s="6"/>
      <c r="BG673" s="6"/>
      <c r="BH673" s="6"/>
      <c r="BI673" s="6"/>
      <c r="BJ673" s="6"/>
      <c r="BK673" s="6"/>
      <c r="BL673" s="6"/>
      <c r="BM673" s="6"/>
      <c r="BN673" s="6"/>
      <c r="BO673" s="6"/>
      <c r="BP673" s="6"/>
      <c r="BQ673" s="6"/>
      <c r="BR673" s="6"/>
      <c r="BS673" s="6"/>
      <c r="BT673" s="6"/>
      <c r="BU673" s="6"/>
      <c r="BV673" s="6"/>
      <c r="BW673" s="6"/>
      <c r="BX673" s="11"/>
    </row>
    <row r="674" spans="1:76" ht="15.7">
      <c r="A674" s="6"/>
      <c r="B674" s="7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  <c r="AZ674" s="6"/>
      <c r="BA674" s="6"/>
      <c r="BB674" s="6"/>
      <c r="BC674" s="6"/>
      <c r="BD674" s="6"/>
      <c r="BE674" s="6"/>
      <c r="BF674" s="6"/>
      <c r="BG674" s="6"/>
      <c r="BH674" s="6"/>
      <c r="BI674" s="6"/>
      <c r="BJ674" s="6"/>
      <c r="BK674" s="6"/>
      <c r="BL674" s="6"/>
      <c r="BM674" s="6"/>
      <c r="BN674" s="6"/>
      <c r="BO674" s="6"/>
      <c r="BP674" s="6"/>
      <c r="BQ674" s="6"/>
      <c r="BR674" s="6"/>
      <c r="BS674" s="6"/>
      <c r="BT674" s="6"/>
      <c r="BU674" s="6"/>
      <c r="BV674" s="6"/>
      <c r="BW674" s="6"/>
      <c r="BX674" s="11"/>
    </row>
    <row r="675" spans="1:76" ht="15.7">
      <c r="A675" s="6"/>
      <c r="B675" s="7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  <c r="AZ675" s="6"/>
      <c r="BA675" s="6"/>
      <c r="BB675" s="6"/>
      <c r="BC675" s="6"/>
      <c r="BD675" s="6"/>
      <c r="BE675" s="6"/>
      <c r="BF675" s="6"/>
      <c r="BG675" s="6"/>
      <c r="BH675" s="6"/>
      <c r="BI675" s="6"/>
      <c r="BJ675" s="6"/>
      <c r="BK675" s="6"/>
      <c r="BL675" s="6"/>
      <c r="BM675" s="6"/>
      <c r="BN675" s="6"/>
      <c r="BO675" s="6"/>
      <c r="BP675" s="6"/>
      <c r="BQ675" s="6"/>
      <c r="BR675" s="6"/>
      <c r="BS675" s="6"/>
      <c r="BT675" s="6"/>
      <c r="BU675" s="6"/>
      <c r="BV675" s="6"/>
      <c r="BW675" s="6"/>
      <c r="BX675" s="11"/>
    </row>
    <row r="676" spans="1:76" ht="15.7">
      <c r="A676" s="6"/>
      <c r="B676" s="7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  <c r="AZ676" s="6"/>
      <c r="BA676" s="6"/>
      <c r="BB676" s="6"/>
      <c r="BC676" s="6"/>
      <c r="BD676" s="6"/>
      <c r="BE676" s="6"/>
      <c r="BF676" s="6"/>
      <c r="BG676" s="6"/>
      <c r="BH676" s="6"/>
      <c r="BI676" s="6"/>
      <c r="BJ676" s="6"/>
      <c r="BK676" s="6"/>
      <c r="BL676" s="6"/>
      <c r="BM676" s="6"/>
      <c r="BN676" s="6"/>
      <c r="BO676" s="6"/>
      <c r="BP676" s="6"/>
      <c r="BQ676" s="6"/>
      <c r="BR676" s="6"/>
      <c r="BS676" s="6"/>
      <c r="BT676" s="6"/>
      <c r="BU676" s="6"/>
      <c r="BV676" s="6"/>
      <c r="BW676" s="6"/>
      <c r="BX676" s="11"/>
    </row>
    <row r="677" spans="1:76" ht="15.7">
      <c r="A677" s="6"/>
      <c r="B677" s="7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  <c r="AZ677" s="6"/>
      <c r="BA677" s="6"/>
      <c r="BB677" s="6"/>
      <c r="BC677" s="6"/>
      <c r="BD677" s="6"/>
      <c r="BE677" s="6"/>
      <c r="BF677" s="6"/>
      <c r="BG677" s="6"/>
      <c r="BH677" s="6"/>
      <c r="BI677" s="6"/>
      <c r="BJ677" s="6"/>
      <c r="BK677" s="6"/>
      <c r="BL677" s="6"/>
      <c r="BM677" s="6"/>
      <c r="BN677" s="6"/>
      <c r="BO677" s="6"/>
      <c r="BP677" s="6"/>
      <c r="BQ677" s="6"/>
      <c r="BR677" s="6"/>
      <c r="BS677" s="6"/>
      <c r="BT677" s="6"/>
      <c r="BU677" s="6"/>
      <c r="BV677" s="6"/>
      <c r="BW677" s="6"/>
      <c r="BX677" s="11"/>
    </row>
    <row r="678" spans="1:76" ht="15.7">
      <c r="A678" s="6"/>
      <c r="B678" s="7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  <c r="AZ678" s="6"/>
      <c r="BA678" s="6"/>
      <c r="BB678" s="6"/>
      <c r="BC678" s="6"/>
      <c r="BD678" s="6"/>
      <c r="BE678" s="6"/>
      <c r="BF678" s="6"/>
      <c r="BG678" s="6"/>
      <c r="BH678" s="6"/>
      <c r="BI678" s="6"/>
      <c r="BJ678" s="6"/>
      <c r="BK678" s="6"/>
      <c r="BL678" s="6"/>
      <c r="BM678" s="6"/>
      <c r="BN678" s="6"/>
      <c r="BO678" s="6"/>
      <c r="BP678" s="6"/>
      <c r="BQ678" s="6"/>
      <c r="BR678" s="6"/>
      <c r="BS678" s="6"/>
      <c r="BT678" s="6"/>
      <c r="BU678" s="6"/>
      <c r="BV678" s="6"/>
      <c r="BW678" s="6"/>
      <c r="BX678" s="11"/>
    </row>
    <row r="679" spans="1:76" ht="15.7">
      <c r="A679" s="6"/>
      <c r="B679" s="7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  <c r="AZ679" s="6"/>
      <c r="BA679" s="6"/>
      <c r="BB679" s="6"/>
      <c r="BC679" s="6"/>
      <c r="BD679" s="6"/>
      <c r="BE679" s="6"/>
      <c r="BF679" s="6"/>
      <c r="BG679" s="6"/>
      <c r="BH679" s="6"/>
      <c r="BI679" s="6"/>
      <c r="BJ679" s="6"/>
      <c r="BK679" s="6"/>
      <c r="BL679" s="6"/>
      <c r="BM679" s="6"/>
      <c r="BN679" s="6"/>
      <c r="BO679" s="6"/>
      <c r="BP679" s="6"/>
      <c r="BQ679" s="6"/>
      <c r="BR679" s="6"/>
      <c r="BS679" s="6"/>
      <c r="BT679" s="6"/>
      <c r="BU679" s="6"/>
      <c r="BV679" s="6"/>
      <c r="BW679" s="6"/>
      <c r="BX679" s="11"/>
    </row>
    <row r="680" spans="1:76" ht="15.7">
      <c r="A680" s="6"/>
      <c r="B680" s="7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  <c r="AZ680" s="6"/>
      <c r="BA680" s="6"/>
      <c r="BB680" s="6"/>
      <c r="BC680" s="6"/>
      <c r="BD680" s="6"/>
      <c r="BE680" s="6"/>
      <c r="BF680" s="6"/>
      <c r="BG680" s="6"/>
      <c r="BH680" s="6"/>
      <c r="BI680" s="6"/>
      <c r="BJ680" s="6"/>
      <c r="BK680" s="6"/>
      <c r="BL680" s="6"/>
      <c r="BM680" s="6"/>
      <c r="BN680" s="6"/>
      <c r="BO680" s="6"/>
      <c r="BP680" s="6"/>
      <c r="BQ680" s="6"/>
      <c r="BR680" s="6"/>
      <c r="BS680" s="6"/>
      <c r="BT680" s="6"/>
      <c r="BU680" s="6"/>
      <c r="BV680" s="6"/>
      <c r="BW680" s="6"/>
      <c r="BX680" s="11"/>
    </row>
    <row r="681" spans="1:76" ht="15.7">
      <c r="A681" s="6"/>
      <c r="B681" s="7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  <c r="AZ681" s="6"/>
      <c r="BA681" s="6"/>
      <c r="BB681" s="6"/>
      <c r="BC681" s="6"/>
      <c r="BD681" s="6"/>
      <c r="BE681" s="6"/>
      <c r="BF681" s="6"/>
      <c r="BG681" s="6"/>
      <c r="BH681" s="6"/>
      <c r="BI681" s="6"/>
      <c r="BJ681" s="6"/>
      <c r="BK681" s="6"/>
      <c r="BL681" s="6"/>
      <c r="BM681" s="6"/>
      <c r="BN681" s="6"/>
      <c r="BO681" s="6"/>
      <c r="BP681" s="6"/>
      <c r="BQ681" s="6"/>
      <c r="BR681" s="6"/>
      <c r="BS681" s="6"/>
      <c r="BT681" s="6"/>
      <c r="BU681" s="6"/>
      <c r="BV681" s="6"/>
      <c r="BW681" s="6"/>
      <c r="BX681" s="11"/>
    </row>
    <row r="682" spans="1:76" ht="15.7">
      <c r="A682" s="6"/>
      <c r="B682" s="7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  <c r="AZ682" s="6"/>
      <c r="BA682" s="6"/>
      <c r="BB682" s="6"/>
      <c r="BC682" s="6"/>
      <c r="BD682" s="6"/>
      <c r="BE682" s="6"/>
      <c r="BF682" s="6"/>
      <c r="BG682" s="6"/>
      <c r="BH682" s="6"/>
      <c r="BI682" s="6"/>
      <c r="BJ682" s="6"/>
      <c r="BK682" s="6"/>
      <c r="BL682" s="6"/>
      <c r="BM682" s="6"/>
      <c r="BN682" s="6"/>
      <c r="BO682" s="6"/>
      <c r="BP682" s="6"/>
      <c r="BQ682" s="6"/>
      <c r="BR682" s="6"/>
      <c r="BS682" s="6"/>
      <c r="BT682" s="6"/>
      <c r="BU682" s="6"/>
      <c r="BV682" s="6"/>
      <c r="BW682" s="6"/>
      <c r="BX682" s="11"/>
    </row>
    <row r="683" spans="1:76" ht="15.7">
      <c r="A683" s="6"/>
      <c r="B683" s="7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  <c r="AZ683" s="6"/>
      <c r="BA683" s="6"/>
      <c r="BB683" s="6"/>
      <c r="BC683" s="6"/>
      <c r="BD683" s="6"/>
      <c r="BE683" s="6"/>
      <c r="BF683" s="6"/>
      <c r="BG683" s="6"/>
      <c r="BH683" s="6"/>
      <c r="BI683" s="6"/>
      <c r="BJ683" s="6"/>
      <c r="BK683" s="6"/>
      <c r="BL683" s="6"/>
      <c r="BM683" s="6"/>
      <c r="BN683" s="6"/>
      <c r="BO683" s="6"/>
      <c r="BP683" s="6"/>
      <c r="BQ683" s="6"/>
      <c r="BR683" s="6"/>
      <c r="BS683" s="6"/>
      <c r="BT683" s="6"/>
      <c r="BU683" s="6"/>
      <c r="BV683" s="6"/>
      <c r="BW683" s="6"/>
      <c r="BX683" s="11"/>
    </row>
    <row r="684" spans="1:76" ht="15.7">
      <c r="A684" s="6"/>
      <c r="B684" s="7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  <c r="AZ684" s="6"/>
      <c r="BA684" s="6"/>
      <c r="BB684" s="6"/>
      <c r="BC684" s="6"/>
      <c r="BD684" s="6"/>
      <c r="BE684" s="6"/>
      <c r="BF684" s="6"/>
      <c r="BG684" s="6"/>
      <c r="BH684" s="6"/>
      <c r="BI684" s="6"/>
      <c r="BJ684" s="6"/>
      <c r="BK684" s="6"/>
      <c r="BL684" s="6"/>
      <c r="BM684" s="6"/>
      <c r="BN684" s="6"/>
      <c r="BO684" s="6"/>
      <c r="BP684" s="6"/>
      <c r="BQ684" s="6"/>
      <c r="BR684" s="6"/>
      <c r="BS684" s="6"/>
      <c r="BT684" s="6"/>
      <c r="BU684" s="6"/>
      <c r="BV684" s="6"/>
      <c r="BW684" s="6"/>
      <c r="BX684" s="11"/>
    </row>
    <row r="685" spans="1:76" ht="15.7">
      <c r="A685" s="6"/>
      <c r="B685" s="7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  <c r="AZ685" s="6"/>
      <c r="BA685" s="6"/>
      <c r="BB685" s="6"/>
      <c r="BC685" s="6"/>
      <c r="BD685" s="6"/>
      <c r="BE685" s="6"/>
      <c r="BF685" s="6"/>
      <c r="BG685" s="6"/>
      <c r="BH685" s="6"/>
      <c r="BI685" s="6"/>
      <c r="BJ685" s="6"/>
      <c r="BK685" s="6"/>
      <c r="BL685" s="6"/>
      <c r="BM685" s="6"/>
      <c r="BN685" s="6"/>
      <c r="BO685" s="6"/>
      <c r="BP685" s="6"/>
      <c r="BQ685" s="6"/>
      <c r="BR685" s="6"/>
      <c r="BS685" s="6"/>
      <c r="BT685" s="6"/>
      <c r="BU685" s="6"/>
      <c r="BV685" s="6"/>
      <c r="BW685" s="6"/>
      <c r="BX685" s="11"/>
    </row>
    <row r="686" spans="1:76" ht="15.7">
      <c r="A686" s="6"/>
      <c r="B686" s="7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  <c r="AZ686" s="6"/>
      <c r="BA686" s="6"/>
      <c r="BB686" s="6"/>
      <c r="BC686" s="6"/>
      <c r="BD686" s="6"/>
      <c r="BE686" s="6"/>
      <c r="BF686" s="6"/>
      <c r="BG686" s="6"/>
      <c r="BH686" s="6"/>
      <c r="BI686" s="6"/>
      <c r="BJ686" s="6"/>
      <c r="BK686" s="6"/>
      <c r="BL686" s="6"/>
      <c r="BM686" s="6"/>
      <c r="BN686" s="6"/>
      <c r="BO686" s="6"/>
      <c r="BP686" s="6"/>
      <c r="BQ686" s="6"/>
      <c r="BR686" s="6"/>
      <c r="BS686" s="6"/>
      <c r="BT686" s="6"/>
      <c r="BU686" s="6"/>
      <c r="BV686" s="6"/>
      <c r="BW686" s="6"/>
      <c r="BX686" s="11"/>
    </row>
    <row r="687" spans="1:76" ht="15.7">
      <c r="A687" s="6"/>
      <c r="B687" s="7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  <c r="AZ687" s="6"/>
      <c r="BA687" s="6"/>
      <c r="BB687" s="6"/>
      <c r="BC687" s="6"/>
      <c r="BD687" s="6"/>
      <c r="BE687" s="6"/>
      <c r="BF687" s="6"/>
      <c r="BG687" s="6"/>
      <c r="BH687" s="6"/>
      <c r="BI687" s="6"/>
      <c r="BJ687" s="6"/>
      <c r="BK687" s="6"/>
      <c r="BL687" s="6"/>
      <c r="BM687" s="6"/>
      <c r="BN687" s="6"/>
      <c r="BO687" s="6"/>
      <c r="BP687" s="6"/>
      <c r="BQ687" s="6"/>
      <c r="BR687" s="6"/>
      <c r="BS687" s="6"/>
      <c r="BT687" s="6"/>
      <c r="BU687" s="6"/>
      <c r="BV687" s="6"/>
      <c r="BW687" s="6"/>
      <c r="BX687" s="11"/>
    </row>
    <row r="688" spans="1:76" ht="15.7">
      <c r="A688" s="6"/>
      <c r="B688" s="7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  <c r="AZ688" s="6"/>
      <c r="BA688" s="6"/>
      <c r="BB688" s="6"/>
      <c r="BC688" s="6"/>
      <c r="BD688" s="6"/>
      <c r="BE688" s="6"/>
      <c r="BF688" s="6"/>
      <c r="BG688" s="6"/>
      <c r="BH688" s="6"/>
      <c r="BI688" s="6"/>
      <c r="BJ688" s="6"/>
      <c r="BK688" s="6"/>
      <c r="BL688" s="6"/>
      <c r="BM688" s="6"/>
      <c r="BN688" s="6"/>
      <c r="BO688" s="6"/>
      <c r="BP688" s="6"/>
      <c r="BQ688" s="6"/>
      <c r="BR688" s="6"/>
      <c r="BS688" s="6"/>
      <c r="BT688" s="6"/>
      <c r="BU688" s="6"/>
      <c r="BV688" s="6"/>
      <c r="BW688" s="6"/>
      <c r="BX688" s="11"/>
    </row>
    <row r="689" spans="1:76" ht="15.7">
      <c r="A689" s="6"/>
      <c r="B689" s="7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  <c r="AZ689" s="6"/>
      <c r="BA689" s="6"/>
      <c r="BB689" s="6"/>
      <c r="BC689" s="6"/>
      <c r="BD689" s="6"/>
      <c r="BE689" s="6"/>
      <c r="BF689" s="6"/>
      <c r="BG689" s="6"/>
      <c r="BH689" s="6"/>
      <c r="BI689" s="6"/>
      <c r="BJ689" s="6"/>
      <c r="BK689" s="6"/>
      <c r="BL689" s="6"/>
      <c r="BM689" s="6"/>
      <c r="BN689" s="6"/>
      <c r="BO689" s="6"/>
      <c r="BP689" s="6"/>
      <c r="BQ689" s="6"/>
      <c r="BR689" s="6"/>
      <c r="BS689" s="6"/>
      <c r="BT689" s="6"/>
      <c r="BU689" s="6"/>
      <c r="BV689" s="6"/>
      <c r="BW689" s="6"/>
      <c r="BX689" s="11"/>
    </row>
    <row r="690" spans="1:76" ht="15.7">
      <c r="A690" s="6"/>
      <c r="B690" s="7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  <c r="AZ690" s="6"/>
      <c r="BA690" s="6"/>
      <c r="BB690" s="6"/>
      <c r="BC690" s="6"/>
      <c r="BD690" s="6"/>
      <c r="BE690" s="6"/>
      <c r="BF690" s="6"/>
      <c r="BG690" s="6"/>
      <c r="BH690" s="6"/>
      <c r="BI690" s="6"/>
      <c r="BJ690" s="6"/>
      <c r="BK690" s="6"/>
      <c r="BL690" s="6"/>
      <c r="BM690" s="6"/>
      <c r="BN690" s="6"/>
      <c r="BO690" s="6"/>
      <c r="BP690" s="6"/>
      <c r="BQ690" s="6"/>
      <c r="BR690" s="6"/>
      <c r="BS690" s="6"/>
      <c r="BT690" s="6"/>
      <c r="BU690" s="6"/>
      <c r="BV690" s="6"/>
      <c r="BW690" s="6"/>
      <c r="BX690" s="11"/>
    </row>
    <row r="691" spans="1:76" ht="15.7">
      <c r="A691" s="6"/>
      <c r="B691" s="7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  <c r="AZ691" s="6"/>
      <c r="BA691" s="6"/>
      <c r="BB691" s="6"/>
      <c r="BC691" s="6"/>
      <c r="BD691" s="6"/>
      <c r="BE691" s="6"/>
      <c r="BF691" s="6"/>
      <c r="BG691" s="6"/>
      <c r="BH691" s="6"/>
      <c r="BI691" s="6"/>
      <c r="BJ691" s="6"/>
      <c r="BK691" s="6"/>
      <c r="BL691" s="6"/>
      <c r="BM691" s="6"/>
      <c r="BN691" s="6"/>
      <c r="BO691" s="6"/>
      <c r="BP691" s="6"/>
      <c r="BQ691" s="6"/>
      <c r="BR691" s="6"/>
      <c r="BS691" s="6"/>
      <c r="BT691" s="6"/>
      <c r="BU691" s="6"/>
      <c r="BV691" s="6"/>
      <c r="BW691" s="6"/>
      <c r="BX691" s="11"/>
    </row>
    <row r="692" spans="1:76" ht="15.7">
      <c r="A692" s="6"/>
      <c r="B692" s="7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  <c r="AZ692" s="6"/>
      <c r="BA692" s="6"/>
      <c r="BB692" s="6"/>
      <c r="BC692" s="6"/>
      <c r="BD692" s="6"/>
      <c r="BE692" s="6"/>
      <c r="BF692" s="6"/>
      <c r="BG692" s="6"/>
      <c r="BH692" s="6"/>
      <c r="BI692" s="6"/>
      <c r="BJ692" s="6"/>
      <c r="BK692" s="6"/>
      <c r="BL692" s="6"/>
      <c r="BM692" s="6"/>
      <c r="BN692" s="6"/>
      <c r="BO692" s="6"/>
      <c r="BP692" s="6"/>
      <c r="BQ692" s="6"/>
      <c r="BR692" s="6"/>
      <c r="BS692" s="6"/>
      <c r="BT692" s="6"/>
      <c r="BU692" s="6"/>
      <c r="BV692" s="6"/>
      <c r="BW692" s="6"/>
      <c r="BX692" s="11"/>
    </row>
    <row r="693" spans="1:76" ht="15.7">
      <c r="A693" s="6"/>
      <c r="B693" s="7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  <c r="AZ693" s="6"/>
      <c r="BA693" s="6"/>
      <c r="BB693" s="6"/>
      <c r="BC693" s="6"/>
      <c r="BD693" s="6"/>
      <c r="BE693" s="6"/>
      <c r="BF693" s="6"/>
      <c r="BG693" s="6"/>
      <c r="BH693" s="6"/>
      <c r="BI693" s="6"/>
      <c r="BJ693" s="6"/>
      <c r="BK693" s="6"/>
      <c r="BL693" s="6"/>
      <c r="BM693" s="6"/>
      <c r="BN693" s="6"/>
      <c r="BO693" s="6"/>
      <c r="BP693" s="6"/>
      <c r="BQ693" s="6"/>
      <c r="BR693" s="6"/>
      <c r="BS693" s="6"/>
      <c r="BT693" s="6"/>
      <c r="BU693" s="6"/>
      <c r="BV693" s="6"/>
      <c r="BW693" s="6"/>
      <c r="BX693" s="11"/>
    </row>
    <row r="694" spans="1:76" ht="15.7">
      <c r="A694" s="6"/>
      <c r="B694" s="7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  <c r="AZ694" s="6"/>
      <c r="BA694" s="6"/>
      <c r="BB694" s="6"/>
      <c r="BC694" s="6"/>
      <c r="BD694" s="6"/>
      <c r="BE694" s="6"/>
      <c r="BF694" s="6"/>
      <c r="BG694" s="6"/>
      <c r="BH694" s="6"/>
      <c r="BI694" s="6"/>
      <c r="BJ694" s="6"/>
      <c r="BK694" s="6"/>
      <c r="BL694" s="6"/>
      <c r="BM694" s="6"/>
      <c r="BN694" s="6"/>
      <c r="BO694" s="6"/>
      <c r="BP694" s="6"/>
      <c r="BQ694" s="6"/>
      <c r="BR694" s="6"/>
      <c r="BS694" s="6"/>
      <c r="BT694" s="6"/>
      <c r="BU694" s="6"/>
      <c r="BV694" s="6"/>
      <c r="BW694" s="6"/>
      <c r="BX694" s="11"/>
    </row>
    <row r="695" spans="1:76" ht="15.7">
      <c r="A695" s="6"/>
      <c r="B695" s="7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  <c r="AZ695" s="6"/>
      <c r="BA695" s="6"/>
      <c r="BB695" s="6"/>
      <c r="BC695" s="6"/>
      <c r="BD695" s="6"/>
      <c r="BE695" s="6"/>
      <c r="BF695" s="6"/>
      <c r="BG695" s="6"/>
      <c r="BH695" s="6"/>
      <c r="BI695" s="6"/>
      <c r="BJ695" s="6"/>
      <c r="BK695" s="6"/>
      <c r="BL695" s="6"/>
      <c r="BM695" s="6"/>
      <c r="BN695" s="6"/>
      <c r="BO695" s="6"/>
      <c r="BP695" s="6"/>
      <c r="BQ695" s="6"/>
      <c r="BR695" s="6"/>
      <c r="BS695" s="6"/>
      <c r="BT695" s="6"/>
      <c r="BU695" s="6"/>
      <c r="BV695" s="6"/>
      <c r="BW695" s="6"/>
      <c r="BX695" s="11"/>
    </row>
    <row r="696" spans="1:76" ht="15.7">
      <c r="A696" s="6"/>
      <c r="B696" s="7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  <c r="AZ696" s="6"/>
      <c r="BA696" s="6"/>
      <c r="BB696" s="6"/>
      <c r="BC696" s="6"/>
      <c r="BD696" s="6"/>
      <c r="BE696" s="6"/>
      <c r="BF696" s="6"/>
      <c r="BG696" s="6"/>
      <c r="BH696" s="6"/>
      <c r="BI696" s="6"/>
      <c r="BJ696" s="6"/>
      <c r="BK696" s="6"/>
      <c r="BL696" s="6"/>
      <c r="BM696" s="6"/>
      <c r="BN696" s="6"/>
      <c r="BO696" s="6"/>
      <c r="BP696" s="6"/>
      <c r="BQ696" s="6"/>
      <c r="BR696" s="6"/>
      <c r="BS696" s="6"/>
      <c r="BT696" s="6"/>
      <c r="BU696" s="6"/>
      <c r="BV696" s="6"/>
      <c r="BW696" s="6"/>
      <c r="BX696" s="11"/>
    </row>
    <row r="697" spans="1:76" ht="15.7">
      <c r="A697" s="6"/>
      <c r="B697" s="7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  <c r="AZ697" s="6"/>
      <c r="BA697" s="6"/>
      <c r="BB697" s="6"/>
      <c r="BC697" s="6"/>
      <c r="BD697" s="6"/>
      <c r="BE697" s="6"/>
      <c r="BF697" s="6"/>
      <c r="BG697" s="6"/>
      <c r="BH697" s="6"/>
      <c r="BI697" s="6"/>
      <c r="BJ697" s="6"/>
      <c r="BK697" s="6"/>
      <c r="BL697" s="6"/>
      <c r="BM697" s="6"/>
      <c r="BN697" s="6"/>
      <c r="BO697" s="6"/>
      <c r="BP697" s="6"/>
      <c r="BQ697" s="6"/>
      <c r="BR697" s="6"/>
      <c r="BS697" s="6"/>
      <c r="BT697" s="6"/>
      <c r="BU697" s="6"/>
      <c r="BV697" s="6"/>
      <c r="BW697" s="6"/>
      <c r="BX697" s="11"/>
    </row>
    <row r="698" spans="1:76" ht="15.7">
      <c r="A698" s="6"/>
      <c r="B698" s="7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  <c r="AZ698" s="6"/>
      <c r="BA698" s="6"/>
      <c r="BB698" s="6"/>
      <c r="BC698" s="6"/>
      <c r="BD698" s="6"/>
      <c r="BE698" s="6"/>
      <c r="BF698" s="6"/>
      <c r="BG698" s="6"/>
      <c r="BH698" s="6"/>
      <c r="BI698" s="6"/>
      <c r="BJ698" s="6"/>
      <c r="BK698" s="6"/>
      <c r="BL698" s="6"/>
      <c r="BM698" s="6"/>
      <c r="BN698" s="6"/>
      <c r="BO698" s="6"/>
      <c r="BP698" s="6"/>
      <c r="BQ698" s="6"/>
      <c r="BR698" s="6"/>
      <c r="BS698" s="6"/>
      <c r="BT698" s="6"/>
      <c r="BU698" s="6"/>
      <c r="BV698" s="6"/>
      <c r="BW698" s="6"/>
      <c r="BX698" s="11"/>
    </row>
    <row r="699" spans="1:76" ht="15.7">
      <c r="A699" s="6"/>
      <c r="B699" s="7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  <c r="AZ699" s="6"/>
      <c r="BA699" s="6"/>
      <c r="BB699" s="6"/>
      <c r="BC699" s="6"/>
      <c r="BD699" s="6"/>
      <c r="BE699" s="6"/>
      <c r="BF699" s="6"/>
      <c r="BG699" s="6"/>
      <c r="BH699" s="6"/>
      <c r="BI699" s="6"/>
      <c r="BJ699" s="6"/>
      <c r="BK699" s="6"/>
      <c r="BL699" s="6"/>
      <c r="BM699" s="6"/>
      <c r="BN699" s="6"/>
      <c r="BO699" s="6"/>
      <c r="BP699" s="6"/>
      <c r="BQ699" s="6"/>
      <c r="BR699" s="6"/>
      <c r="BS699" s="6"/>
      <c r="BT699" s="6"/>
      <c r="BU699" s="6"/>
      <c r="BV699" s="6"/>
      <c r="BW699" s="6"/>
      <c r="BX699" s="11"/>
    </row>
    <row r="700" spans="1:76" ht="15.7">
      <c r="A700" s="6"/>
      <c r="B700" s="7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  <c r="AZ700" s="6"/>
      <c r="BA700" s="6"/>
      <c r="BB700" s="6"/>
      <c r="BC700" s="6"/>
      <c r="BD700" s="6"/>
      <c r="BE700" s="6"/>
      <c r="BF700" s="6"/>
      <c r="BG700" s="6"/>
      <c r="BH700" s="6"/>
      <c r="BI700" s="6"/>
      <c r="BJ700" s="6"/>
      <c r="BK700" s="6"/>
      <c r="BL700" s="6"/>
      <c r="BM700" s="6"/>
      <c r="BN700" s="6"/>
      <c r="BO700" s="6"/>
      <c r="BP700" s="6"/>
      <c r="BQ700" s="6"/>
      <c r="BR700" s="6"/>
      <c r="BS700" s="6"/>
      <c r="BT700" s="6"/>
      <c r="BU700" s="6"/>
      <c r="BV700" s="6"/>
      <c r="BW700" s="6"/>
      <c r="BX700" s="11"/>
    </row>
    <row r="701" spans="1:76" ht="15.7">
      <c r="A701" s="6"/>
      <c r="B701" s="7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  <c r="AZ701" s="6"/>
      <c r="BA701" s="6"/>
      <c r="BB701" s="6"/>
      <c r="BC701" s="6"/>
      <c r="BD701" s="6"/>
      <c r="BE701" s="6"/>
      <c r="BF701" s="6"/>
      <c r="BG701" s="6"/>
      <c r="BH701" s="6"/>
      <c r="BI701" s="6"/>
      <c r="BJ701" s="6"/>
      <c r="BK701" s="6"/>
      <c r="BL701" s="6"/>
      <c r="BM701" s="6"/>
      <c r="BN701" s="6"/>
      <c r="BO701" s="6"/>
      <c r="BP701" s="6"/>
      <c r="BQ701" s="6"/>
      <c r="BR701" s="6"/>
      <c r="BS701" s="6"/>
      <c r="BT701" s="6"/>
      <c r="BU701" s="6"/>
      <c r="BV701" s="6"/>
      <c r="BW701" s="6"/>
      <c r="BX701" s="11"/>
    </row>
    <row r="702" spans="1:76" ht="15.7">
      <c r="A702" s="6"/>
      <c r="B702" s="7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  <c r="AZ702" s="6"/>
      <c r="BA702" s="6"/>
      <c r="BB702" s="6"/>
      <c r="BC702" s="6"/>
      <c r="BD702" s="6"/>
      <c r="BE702" s="6"/>
      <c r="BF702" s="6"/>
      <c r="BG702" s="6"/>
      <c r="BH702" s="6"/>
      <c r="BI702" s="6"/>
      <c r="BJ702" s="6"/>
      <c r="BK702" s="6"/>
      <c r="BL702" s="6"/>
      <c r="BM702" s="6"/>
      <c r="BN702" s="6"/>
      <c r="BO702" s="6"/>
      <c r="BP702" s="6"/>
      <c r="BQ702" s="6"/>
      <c r="BR702" s="6"/>
      <c r="BS702" s="6"/>
      <c r="BT702" s="6"/>
      <c r="BU702" s="6"/>
      <c r="BV702" s="6"/>
      <c r="BW702" s="6"/>
      <c r="BX702" s="11"/>
    </row>
    <row r="703" spans="1:76" ht="15.7">
      <c r="A703" s="6"/>
      <c r="B703" s="7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  <c r="AZ703" s="6"/>
      <c r="BA703" s="6"/>
      <c r="BB703" s="6"/>
      <c r="BC703" s="6"/>
      <c r="BD703" s="6"/>
      <c r="BE703" s="6"/>
      <c r="BF703" s="6"/>
      <c r="BG703" s="6"/>
      <c r="BH703" s="6"/>
      <c r="BI703" s="6"/>
      <c r="BJ703" s="6"/>
      <c r="BK703" s="6"/>
      <c r="BL703" s="6"/>
      <c r="BM703" s="6"/>
      <c r="BN703" s="6"/>
      <c r="BO703" s="6"/>
      <c r="BP703" s="6"/>
      <c r="BQ703" s="6"/>
      <c r="BR703" s="6"/>
      <c r="BS703" s="6"/>
      <c r="BT703" s="6"/>
      <c r="BU703" s="6"/>
      <c r="BV703" s="6"/>
      <c r="BW703" s="6"/>
      <c r="BX703" s="11"/>
    </row>
    <row r="704" spans="1:76" ht="15.7">
      <c r="A704" s="6"/>
      <c r="B704" s="7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  <c r="AZ704" s="6"/>
      <c r="BA704" s="6"/>
      <c r="BB704" s="6"/>
      <c r="BC704" s="6"/>
      <c r="BD704" s="6"/>
      <c r="BE704" s="6"/>
      <c r="BF704" s="6"/>
      <c r="BG704" s="6"/>
      <c r="BH704" s="6"/>
      <c r="BI704" s="6"/>
      <c r="BJ704" s="6"/>
      <c r="BK704" s="6"/>
      <c r="BL704" s="6"/>
      <c r="BM704" s="6"/>
      <c r="BN704" s="6"/>
      <c r="BO704" s="6"/>
      <c r="BP704" s="6"/>
      <c r="BQ704" s="6"/>
      <c r="BR704" s="6"/>
      <c r="BS704" s="6"/>
      <c r="BT704" s="6"/>
      <c r="BU704" s="6"/>
      <c r="BV704" s="6"/>
      <c r="BW704" s="6"/>
      <c r="BX704" s="11"/>
    </row>
    <row r="705" spans="1:76" ht="15.7">
      <c r="A705" s="6"/>
      <c r="B705" s="7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  <c r="AZ705" s="6"/>
      <c r="BA705" s="6"/>
      <c r="BB705" s="6"/>
      <c r="BC705" s="6"/>
      <c r="BD705" s="6"/>
      <c r="BE705" s="6"/>
      <c r="BF705" s="6"/>
      <c r="BG705" s="6"/>
      <c r="BH705" s="6"/>
      <c r="BI705" s="6"/>
      <c r="BJ705" s="6"/>
      <c r="BK705" s="6"/>
      <c r="BL705" s="6"/>
      <c r="BM705" s="6"/>
      <c r="BN705" s="6"/>
      <c r="BO705" s="6"/>
      <c r="BP705" s="6"/>
      <c r="BQ705" s="6"/>
      <c r="BR705" s="6"/>
      <c r="BS705" s="6"/>
      <c r="BT705" s="6"/>
      <c r="BU705" s="6"/>
      <c r="BV705" s="6"/>
      <c r="BW705" s="6"/>
      <c r="BX705" s="11"/>
    </row>
    <row r="706" spans="1:76" ht="15.7">
      <c r="A706" s="6"/>
      <c r="B706" s="7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  <c r="AZ706" s="6"/>
      <c r="BA706" s="6"/>
      <c r="BB706" s="6"/>
      <c r="BC706" s="6"/>
      <c r="BD706" s="6"/>
      <c r="BE706" s="6"/>
      <c r="BF706" s="6"/>
      <c r="BG706" s="6"/>
      <c r="BH706" s="6"/>
      <c r="BI706" s="6"/>
      <c r="BJ706" s="6"/>
      <c r="BK706" s="6"/>
      <c r="BL706" s="6"/>
      <c r="BM706" s="6"/>
      <c r="BN706" s="6"/>
      <c r="BO706" s="6"/>
      <c r="BP706" s="6"/>
      <c r="BQ706" s="6"/>
      <c r="BR706" s="6"/>
      <c r="BS706" s="6"/>
      <c r="BT706" s="6"/>
      <c r="BU706" s="6"/>
      <c r="BV706" s="6"/>
      <c r="BW706" s="6"/>
      <c r="BX706" s="11"/>
    </row>
    <row r="707" spans="1:76" ht="15.7">
      <c r="A707" s="6"/>
      <c r="B707" s="7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  <c r="AZ707" s="6"/>
      <c r="BA707" s="6"/>
      <c r="BB707" s="6"/>
      <c r="BC707" s="6"/>
      <c r="BD707" s="6"/>
      <c r="BE707" s="6"/>
      <c r="BF707" s="6"/>
      <c r="BG707" s="6"/>
      <c r="BH707" s="6"/>
      <c r="BI707" s="6"/>
      <c r="BJ707" s="6"/>
      <c r="BK707" s="6"/>
      <c r="BL707" s="6"/>
      <c r="BM707" s="6"/>
      <c r="BN707" s="6"/>
      <c r="BO707" s="6"/>
      <c r="BP707" s="6"/>
      <c r="BQ707" s="6"/>
      <c r="BR707" s="6"/>
      <c r="BS707" s="6"/>
      <c r="BT707" s="6"/>
      <c r="BU707" s="6"/>
      <c r="BV707" s="6"/>
      <c r="BW707" s="6"/>
      <c r="BX707" s="11"/>
    </row>
    <row r="708" spans="1:76" ht="15.7">
      <c r="A708" s="6"/>
      <c r="B708" s="7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  <c r="AZ708" s="6"/>
      <c r="BA708" s="6"/>
      <c r="BB708" s="6"/>
      <c r="BC708" s="6"/>
      <c r="BD708" s="6"/>
      <c r="BE708" s="6"/>
      <c r="BF708" s="6"/>
      <c r="BG708" s="6"/>
      <c r="BH708" s="6"/>
      <c r="BI708" s="6"/>
      <c r="BJ708" s="6"/>
      <c r="BK708" s="6"/>
      <c r="BL708" s="6"/>
      <c r="BM708" s="6"/>
      <c r="BN708" s="6"/>
      <c r="BO708" s="6"/>
      <c r="BP708" s="6"/>
      <c r="BQ708" s="6"/>
      <c r="BR708" s="6"/>
      <c r="BS708" s="6"/>
      <c r="BT708" s="6"/>
      <c r="BU708" s="6"/>
      <c r="BV708" s="6"/>
      <c r="BW708" s="6"/>
      <c r="BX708" s="11"/>
    </row>
    <row r="709" spans="1:76" ht="15.7">
      <c r="A709" s="6"/>
      <c r="B709" s="7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  <c r="AZ709" s="6"/>
      <c r="BA709" s="6"/>
      <c r="BB709" s="6"/>
      <c r="BC709" s="6"/>
      <c r="BD709" s="6"/>
      <c r="BE709" s="6"/>
      <c r="BF709" s="6"/>
      <c r="BG709" s="6"/>
      <c r="BH709" s="6"/>
      <c r="BI709" s="6"/>
      <c r="BJ709" s="6"/>
      <c r="BK709" s="6"/>
      <c r="BL709" s="6"/>
      <c r="BM709" s="6"/>
      <c r="BN709" s="6"/>
      <c r="BO709" s="6"/>
      <c r="BP709" s="6"/>
      <c r="BQ709" s="6"/>
      <c r="BR709" s="6"/>
      <c r="BS709" s="6"/>
      <c r="BT709" s="6"/>
      <c r="BU709" s="6"/>
      <c r="BV709" s="6"/>
      <c r="BW709" s="6"/>
      <c r="BX709" s="11"/>
    </row>
    <row r="710" spans="1:76" ht="15.7">
      <c r="A710" s="6"/>
      <c r="B710" s="7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  <c r="AZ710" s="6"/>
      <c r="BA710" s="6"/>
      <c r="BB710" s="6"/>
      <c r="BC710" s="6"/>
      <c r="BD710" s="6"/>
      <c r="BE710" s="6"/>
      <c r="BF710" s="6"/>
      <c r="BG710" s="6"/>
      <c r="BH710" s="6"/>
      <c r="BI710" s="6"/>
      <c r="BJ710" s="6"/>
      <c r="BK710" s="6"/>
      <c r="BL710" s="6"/>
      <c r="BM710" s="6"/>
      <c r="BN710" s="6"/>
      <c r="BO710" s="6"/>
      <c r="BP710" s="6"/>
      <c r="BQ710" s="6"/>
      <c r="BR710" s="6"/>
      <c r="BS710" s="6"/>
      <c r="BT710" s="6"/>
      <c r="BU710" s="6"/>
      <c r="BV710" s="6"/>
      <c r="BW710" s="6"/>
      <c r="BX710" s="11"/>
    </row>
    <row r="711" spans="1:76" ht="15.7">
      <c r="A711" s="6"/>
      <c r="B711" s="7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  <c r="AZ711" s="6"/>
      <c r="BA711" s="6"/>
      <c r="BB711" s="6"/>
      <c r="BC711" s="6"/>
      <c r="BD711" s="6"/>
      <c r="BE711" s="6"/>
      <c r="BF711" s="6"/>
      <c r="BG711" s="6"/>
      <c r="BH711" s="6"/>
      <c r="BI711" s="6"/>
      <c r="BJ711" s="6"/>
      <c r="BK711" s="6"/>
      <c r="BL711" s="6"/>
      <c r="BM711" s="6"/>
      <c r="BN711" s="6"/>
      <c r="BO711" s="6"/>
      <c r="BP711" s="6"/>
      <c r="BQ711" s="6"/>
      <c r="BR711" s="6"/>
      <c r="BS711" s="6"/>
      <c r="BT711" s="6"/>
      <c r="BU711" s="6"/>
      <c r="BV711" s="6"/>
      <c r="BW711" s="6"/>
      <c r="BX711" s="11"/>
    </row>
    <row r="712" spans="1:76" ht="15.7">
      <c r="A712" s="6"/>
      <c r="B712" s="7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  <c r="AZ712" s="6"/>
      <c r="BA712" s="6"/>
      <c r="BB712" s="6"/>
      <c r="BC712" s="6"/>
      <c r="BD712" s="6"/>
      <c r="BE712" s="6"/>
      <c r="BF712" s="6"/>
      <c r="BG712" s="6"/>
      <c r="BH712" s="6"/>
      <c r="BI712" s="6"/>
      <c r="BJ712" s="6"/>
      <c r="BK712" s="6"/>
      <c r="BL712" s="6"/>
      <c r="BM712" s="6"/>
      <c r="BN712" s="6"/>
      <c r="BO712" s="6"/>
      <c r="BP712" s="6"/>
      <c r="BQ712" s="6"/>
      <c r="BR712" s="6"/>
      <c r="BS712" s="6"/>
      <c r="BT712" s="6"/>
      <c r="BU712" s="6"/>
      <c r="BV712" s="6"/>
      <c r="BW712" s="6"/>
      <c r="BX712" s="11"/>
    </row>
    <row r="713" spans="1:76" ht="15.7">
      <c r="A713" s="6"/>
      <c r="B713" s="7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  <c r="AZ713" s="6"/>
      <c r="BA713" s="6"/>
      <c r="BB713" s="6"/>
      <c r="BC713" s="6"/>
      <c r="BD713" s="6"/>
      <c r="BE713" s="6"/>
      <c r="BF713" s="6"/>
      <c r="BG713" s="6"/>
      <c r="BH713" s="6"/>
      <c r="BI713" s="6"/>
      <c r="BJ713" s="6"/>
      <c r="BK713" s="6"/>
      <c r="BL713" s="6"/>
      <c r="BM713" s="6"/>
      <c r="BN713" s="6"/>
      <c r="BO713" s="6"/>
      <c r="BP713" s="6"/>
      <c r="BQ713" s="6"/>
      <c r="BR713" s="6"/>
      <c r="BS713" s="6"/>
      <c r="BT713" s="6"/>
      <c r="BU713" s="6"/>
      <c r="BV713" s="6"/>
      <c r="BW713" s="6"/>
      <c r="BX713" s="11"/>
    </row>
    <row r="714" spans="1:76" ht="15.7">
      <c r="A714" s="6"/>
      <c r="B714" s="7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  <c r="AZ714" s="6"/>
      <c r="BA714" s="6"/>
      <c r="BB714" s="6"/>
      <c r="BC714" s="6"/>
      <c r="BD714" s="6"/>
      <c r="BE714" s="6"/>
      <c r="BF714" s="6"/>
      <c r="BG714" s="6"/>
      <c r="BH714" s="6"/>
      <c r="BI714" s="6"/>
      <c r="BJ714" s="6"/>
      <c r="BK714" s="6"/>
      <c r="BL714" s="6"/>
      <c r="BM714" s="6"/>
      <c r="BN714" s="6"/>
      <c r="BO714" s="6"/>
      <c r="BP714" s="6"/>
      <c r="BQ714" s="6"/>
      <c r="BR714" s="6"/>
      <c r="BS714" s="6"/>
      <c r="BT714" s="6"/>
      <c r="BU714" s="6"/>
      <c r="BV714" s="6"/>
      <c r="BW714" s="6"/>
      <c r="BX714" s="11"/>
    </row>
    <row r="715" spans="1:76" ht="15.7">
      <c r="A715" s="6"/>
      <c r="B715" s="7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  <c r="AZ715" s="6"/>
      <c r="BA715" s="6"/>
      <c r="BB715" s="6"/>
      <c r="BC715" s="6"/>
      <c r="BD715" s="6"/>
      <c r="BE715" s="6"/>
      <c r="BF715" s="6"/>
      <c r="BG715" s="6"/>
      <c r="BH715" s="6"/>
      <c r="BI715" s="6"/>
      <c r="BJ715" s="6"/>
      <c r="BK715" s="6"/>
      <c r="BL715" s="6"/>
      <c r="BM715" s="6"/>
      <c r="BN715" s="6"/>
      <c r="BO715" s="6"/>
      <c r="BP715" s="6"/>
      <c r="BQ715" s="6"/>
      <c r="BR715" s="6"/>
      <c r="BS715" s="6"/>
      <c r="BT715" s="6"/>
      <c r="BU715" s="6"/>
      <c r="BV715" s="6"/>
      <c r="BW715" s="6"/>
      <c r="BX715" s="11"/>
    </row>
    <row r="716" spans="1:76" ht="15.7">
      <c r="A716" s="6"/>
      <c r="B716" s="7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  <c r="AZ716" s="6"/>
      <c r="BA716" s="6"/>
      <c r="BB716" s="6"/>
      <c r="BC716" s="6"/>
      <c r="BD716" s="6"/>
      <c r="BE716" s="6"/>
      <c r="BF716" s="6"/>
      <c r="BG716" s="6"/>
      <c r="BH716" s="6"/>
      <c r="BI716" s="6"/>
      <c r="BJ716" s="6"/>
      <c r="BK716" s="6"/>
      <c r="BL716" s="6"/>
      <c r="BM716" s="6"/>
      <c r="BN716" s="6"/>
      <c r="BO716" s="6"/>
      <c r="BP716" s="6"/>
      <c r="BQ716" s="6"/>
      <c r="BR716" s="6"/>
      <c r="BS716" s="6"/>
      <c r="BT716" s="6"/>
      <c r="BU716" s="6"/>
      <c r="BV716" s="6"/>
      <c r="BW716" s="6"/>
      <c r="BX716" s="11"/>
    </row>
    <row r="717" spans="1:76" ht="15.7">
      <c r="A717" s="6"/>
      <c r="B717" s="7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  <c r="AZ717" s="6"/>
      <c r="BA717" s="6"/>
      <c r="BB717" s="6"/>
      <c r="BC717" s="6"/>
      <c r="BD717" s="6"/>
      <c r="BE717" s="6"/>
      <c r="BF717" s="6"/>
      <c r="BG717" s="6"/>
      <c r="BH717" s="6"/>
      <c r="BI717" s="6"/>
      <c r="BJ717" s="6"/>
      <c r="BK717" s="6"/>
      <c r="BL717" s="6"/>
      <c r="BM717" s="6"/>
      <c r="BN717" s="6"/>
      <c r="BO717" s="6"/>
      <c r="BP717" s="6"/>
      <c r="BQ717" s="6"/>
      <c r="BR717" s="6"/>
      <c r="BS717" s="6"/>
      <c r="BT717" s="6"/>
      <c r="BU717" s="6"/>
      <c r="BV717" s="6"/>
      <c r="BW717" s="6"/>
      <c r="BX717" s="11"/>
    </row>
    <row r="718" spans="1:76" ht="15.7">
      <c r="A718" s="6"/>
      <c r="B718" s="7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  <c r="AZ718" s="6"/>
      <c r="BA718" s="6"/>
      <c r="BB718" s="6"/>
      <c r="BC718" s="6"/>
      <c r="BD718" s="6"/>
      <c r="BE718" s="6"/>
      <c r="BF718" s="6"/>
      <c r="BG718" s="6"/>
      <c r="BH718" s="6"/>
      <c r="BI718" s="6"/>
      <c r="BJ718" s="6"/>
      <c r="BK718" s="6"/>
      <c r="BL718" s="6"/>
      <c r="BM718" s="6"/>
      <c r="BN718" s="6"/>
      <c r="BO718" s="6"/>
      <c r="BP718" s="6"/>
      <c r="BQ718" s="6"/>
      <c r="BR718" s="6"/>
      <c r="BS718" s="6"/>
      <c r="BT718" s="6"/>
      <c r="BU718" s="6"/>
      <c r="BV718" s="6"/>
      <c r="BW718" s="6"/>
      <c r="BX718" s="11"/>
    </row>
    <row r="719" spans="1:76" ht="15.7">
      <c r="A719" s="6"/>
      <c r="B719" s="7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  <c r="AZ719" s="6"/>
      <c r="BA719" s="6"/>
      <c r="BB719" s="6"/>
      <c r="BC719" s="6"/>
      <c r="BD719" s="6"/>
      <c r="BE719" s="6"/>
      <c r="BF719" s="6"/>
      <c r="BG719" s="6"/>
      <c r="BH719" s="6"/>
      <c r="BI719" s="6"/>
      <c r="BJ719" s="6"/>
      <c r="BK719" s="6"/>
      <c r="BL719" s="6"/>
      <c r="BM719" s="6"/>
      <c r="BN719" s="6"/>
      <c r="BO719" s="6"/>
      <c r="BP719" s="6"/>
      <c r="BQ719" s="6"/>
      <c r="BR719" s="6"/>
      <c r="BS719" s="6"/>
      <c r="BT719" s="6"/>
      <c r="BU719" s="6"/>
      <c r="BV719" s="6"/>
      <c r="BW719" s="6"/>
      <c r="BX719" s="11"/>
    </row>
    <row r="720" spans="1:76" ht="15.7">
      <c r="A720" s="6"/>
      <c r="B720" s="7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  <c r="AZ720" s="6"/>
      <c r="BA720" s="6"/>
      <c r="BB720" s="6"/>
      <c r="BC720" s="6"/>
      <c r="BD720" s="6"/>
      <c r="BE720" s="6"/>
      <c r="BF720" s="6"/>
      <c r="BG720" s="6"/>
      <c r="BH720" s="6"/>
      <c r="BI720" s="6"/>
      <c r="BJ720" s="6"/>
      <c r="BK720" s="6"/>
      <c r="BL720" s="6"/>
      <c r="BM720" s="6"/>
      <c r="BN720" s="6"/>
      <c r="BO720" s="6"/>
      <c r="BP720" s="6"/>
      <c r="BQ720" s="6"/>
      <c r="BR720" s="6"/>
      <c r="BS720" s="6"/>
      <c r="BT720" s="6"/>
      <c r="BU720" s="6"/>
      <c r="BV720" s="6"/>
      <c r="BW720" s="6"/>
      <c r="BX720" s="11"/>
    </row>
    <row r="721" spans="1:76" ht="15.7">
      <c r="A721" s="6"/>
      <c r="B721" s="7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  <c r="AZ721" s="6"/>
      <c r="BA721" s="6"/>
      <c r="BB721" s="6"/>
      <c r="BC721" s="6"/>
      <c r="BD721" s="6"/>
      <c r="BE721" s="6"/>
      <c r="BF721" s="6"/>
      <c r="BG721" s="6"/>
      <c r="BH721" s="6"/>
      <c r="BI721" s="6"/>
      <c r="BJ721" s="6"/>
      <c r="BK721" s="6"/>
      <c r="BL721" s="6"/>
      <c r="BM721" s="6"/>
      <c r="BN721" s="6"/>
      <c r="BO721" s="6"/>
      <c r="BP721" s="6"/>
      <c r="BQ721" s="6"/>
      <c r="BR721" s="6"/>
      <c r="BS721" s="6"/>
      <c r="BT721" s="6"/>
      <c r="BU721" s="6"/>
      <c r="BV721" s="6"/>
      <c r="BW721" s="6"/>
      <c r="BX721" s="11"/>
    </row>
    <row r="722" spans="1:76" ht="15.7">
      <c r="A722" s="6"/>
      <c r="B722" s="7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  <c r="AZ722" s="6"/>
      <c r="BA722" s="6"/>
      <c r="BB722" s="6"/>
      <c r="BC722" s="6"/>
      <c r="BD722" s="6"/>
      <c r="BE722" s="6"/>
      <c r="BF722" s="6"/>
      <c r="BG722" s="6"/>
      <c r="BH722" s="6"/>
      <c r="BI722" s="6"/>
      <c r="BJ722" s="6"/>
      <c r="BK722" s="6"/>
      <c r="BL722" s="6"/>
      <c r="BM722" s="6"/>
      <c r="BN722" s="6"/>
      <c r="BO722" s="6"/>
      <c r="BP722" s="6"/>
      <c r="BQ722" s="6"/>
      <c r="BR722" s="6"/>
      <c r="BS722" s="6"/>
      <c r="BT722" s="6"/>
      <c r="BU722" s="6"/>
      <c r="BV722" s="6"/>
      <c r="BW722" s="6"/>
      <c r="BX722" s="11"/>
    </row>
    <row r="723" spans="1:76" ht="15.7">
      <c r="A723" s="6"/>
      <c r="B723" s="7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  <c r="AZ723" s="6"/>
      <c r="BA723" s="6"/>
      <c r="BB723" s="6"/>
      <c r="BC723" s="6"/>
      <c r="BD723" s="6"/>
      <c r="BE723" s="6"/>
      <c r="BF723" s="6"/>
      <c r="BG723" s="6"/>
      <c r="BH723" s="6"/>
      <c r="BI723" s="6"/>
      <c r="BJ723" s="6"/>
      <c r="BK723" s="6"/>
      <c r="BL723" s="6"/>
      <c r="BM723" s="6"/>
      <c r="BN723" s="6"/>
      <c r="BO723" s="6"/>
      <c r="BP723" s="6"/>
      <c r="BQ723" s="6"/>
      <c r="BR723" s="6"/>
      <c r="BS723" s="6"/>
      <c r="BT723" s="6"/>
      <c r="BU723" s="6"/>
      <c r="BV723" s="6"/>
      <c r="BW723" s="6"/>
      <c r="BX723" s="11"/>
    </row>
    <row r="724" spans="1:76" ht="15.7">
      <c r="A724" s="6"/>
      <c r="B724" s="7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  <c r="AZ724" s="6"/>
      <c r="BA724" s="6"/>
      <c r="BB724" s="6"/>
      <c r="BC724" s="6"/>
      <c r="BD724" s="6"/>
      <c r="BE724" s="6"/>
      <c r="BF724" s="6"/>
      <c r="BG724" s="6"/>
      <c r="BH724" s="6"/>
      <c r="BI724" s="6"/>
      <c r="BJ724" s="6"/>
      <c r="BK724" s="6"/>
      <c r="BL724" s="6"/>
      <c r="BM724" s="6"/>
      <c r="BN724" s="6"/>
      <c r="BO724" s="6"/>
      <c r="BP724" s="6"/>
      <c r="BQ724" s="6"/>
      <c r="BR724" s="6"/>
      <c r="BS724" s="6"/>
      <c r="BT724" s="6"/>
      <c r="BU724" s="6"/>
      <c r="BV724" s="6"/>
      <c r="BW724" s="6"/>
      <c r="BX724" s="11"/>
    </row>
    <row r="725" spans="1:76" ht="15.7">
      <c r="A725" s="6"/>
      <c r="B725" s="7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  <c r="AZ725" s="6"/>
      <c r="BA725" s="6"/>
      <c r="BB725" s="6"/>
      <c r="BC725" s="6"/>
      <c r="BD725" s="6"/>
      <c r="BE725" s="6"/>
      <c r="BF725" s="6"/>
      <c r="BG725" s="6"/>
      <c r="BH725" s="6"/>
      <c r="BI725" s="6"/>
      <c r="BJ725" s="6"/>
      <c r="BK725" s="6"/>
      <c r="BL725" s="6"/>
      <c r="BM725" s="6"/>
      <c r="BN725" s="6"/>
      <c r="BO725" s="6"/>
      <c r="BP725" s="6"/>
      <c r="BQ725" s="6"/>
      <c r="BR725" s="6"/>
      <c r="BS725" s="6"/>
      <c r="BT725" s="6"/>
      <c r="BU725" s="6"/>
      <c r="BV725" s="6"/>
      <c r="BW725" s="6"/>
      <c r="BX725" s="11"/>
    </row>
    <row r="726" spans="1:76" ht="15.7">
      <c r="A726" s="6"/>
      <c r="B726" s="7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  <c r="AZ726" s="6"/>
      <c r="BA726" s="6"/>
      <c r="BB726" s="6"/>
      <c r="BC726" s="6"/>
      <c r="BD726" s="6"/>
      <c r="BE726" s="6"/>
      <c r="BF726" s="6"/>
      <c r="BG726" s="6"/>
      <c r="BH726" s="6"/>
      <c r="BI726" s="6"/>
      <c r="BJ726" s="6"/>
      <c r="BK726" s="6"/>
      <c r="BL726" s="6"/>
      <c r="BM726" s="6"/>
      <c r="BN726" s="6"/>
      <c r="BO726" s="6"/>
      <c r="BP726" s="6"/>
      <c r="BQ726" s="6"/>
      <c r="BR726" s="6"/>
      <c r="BS726" s="6"/>
      <c r="BT726" s="6"/>
      <c r="BU726" s="6"/>
      <c r="BV726" s="6"/>
      <c r="BW726" s="6"/>
      <c r="BX726" s="11"/>
    </row>
    <row r="727" spans="1:76" ht="15.7">
      <c r="A727" s="6"/>
      <c r="B727" s="7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  <c r="AZ727" s="6"/>
      <c r="BA727" s="6"/>
      <c r="BB727" s="6"/>
      <c r="BC727" s="6"/>
      <c r="BD727" s="6"/>
      <c r="BE727" s="6"/>
      <c r="BF727" s="6"/>
      <c r="BG727" s="6"/>
      <c r="BH727" s="6"/>
      <c r="BI727" s="6"/>
      <c r="BJ727" s="6"/>
      <c r="BK727" s="6"/>
      <c r="BL727" s="6"/>
      <c r="BM727" s="6"/>
      <c r="BN727" s="6"/>
      <c r="BO727" s="6"/>
      <c r="BP727" s="6"/>
      <c r="BQ727" s="6"/>
      <c r="BR727" s="6"/>
      <c r="BS727" s="6"/>
      <c r="BT727" s="6"/>
      <c r="BU727" s="6"/>
      <c r="BV727" s="6"/>
      <c r="BW727" s="6"/>
      <c r="BX727" s="11"/>
    </row>
    <row r="728" spans="1:76" ht="15.7">
      <c r="A728" s="6"/>
      <c r="B728" s="7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  <c r="AZ728" s="6"/>
      <c r="BA728" s="6"/>
      <c r="BB728" s="6"/>
      <c r="BC728" s="6"/>
      <c r="BD728" s="6"/>
      <c r="BE728" s="6"/>
      <c r="BF728" s="6"/>
      <c r="BG728" s="6"/>
      <c r="BH728" s="6"/>
      <c r="BI728" s="6"/>
      <c r="BJ728" s="6"/>
      <c r="BK728" s="6"/>
      <c r="BL728" s="6"/>
      <c r="BM728" s="6"/>
      <c r="BN728" s="6"/>
      <c r="BO728" s="6"/>
      <c r="BP728" s="6"/>
      <c r="BQ728" s="6"/>
      <c r="BR728" s="6"/>
      <c r="BS728" s="6"/>
      <c r="BT728" s="6"/>
      <c r="BU728" s="6"/>
      <c r="BV728" s="6"/>
      <c r="BW728" s="6"/>
      <c r="BX728" s="11"/>
    </row>
    <row r="729" spans="1:76" ht="15.7">
      <c r="A729" s="6"/>
      <c r="B729" s="7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  <c r="AZ729" s="6"/>
      <c r="BA729" s="6"/>
      <c r="BB729" s="6"/>
      <c r="BC729" s="6"/>
      <c r="BD729" s="6"/>
      <c r="BE729" s="6"/>
      <c r="BF729" s="6"/>
      <c r="BG729" s="6"/>
      <c r="BH729" s="6"/>
      <c r="BI729" s="6"/>
      <c r="BJ729" s="6"/>
      <c r="BK729" s="6"/>
      <c r="BL729" s="6"/>
      <c r="BM729" s="6"/>
      <c r="BN729" s="6"/>
      <c r="BO729" s="6"/>
      <c r="BP729" s="6"/>
      <c r="BQ729" s="6"/>
      <c r="BR729" s="6"/>
      <c r="BS729" s="6"/>
      <c r="BT729" s="6"/>
      <c r="BU729" s="6"/>
      <c r="BV729" s="6"/>
      <c r="BW729" s="6"/>
      <c r="BX729" s="11"/>
    </row>
    <row r="730" spans="1:76" ht="15.7">
      <c r="A730" s="6"/>
      <c r="B730" s="7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  <c r="AZ730" s="6"/>
      <c r="BA730" s="6"/>
      <c r="BB730" s="6"/>
      <c r="BC730" s="6"/>
      <c r="BD730" s="6"/>
      <c r="BE730" s="6"/>
      <c r="BF730" s="6"/>
      <c r="BG730" s="6"/>
      <c r="BH730" s="6"/>
      <c r="BI730" s="6"/>
      <c r="BJ730" s="6"/>
      <c r="BK730" s="6"/>
      <c r="BL730" s="6"/>
      <c r="BM730" s="6"/>
      <c r="BN730" s="6"/>
      <c r="BO730" s="6"/>
      <c r="BP730" s="6"/>
      <c r="BQ730" s="6"/>
      <c r="BR730" s="6"/>
      <c r="BS730" s="6"/>
      <c r="BT730" s="6"/>
      <c r="BU730" s="6"/>
      <c r="BV730" s="6"/>
      <c r="BW730" s="6"/>
      <c r="BX730" s="11"/>
    </row>
    <row r="731" spans="1:76" ht="15.7">
      <c r="A731" s="6"/>
      <c r="B731" s="7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  <c r="AZ731" s="6"/>
      <c r="BA731" s="6"/>
      <c r="BB731" s="6"/>
      <c r="BC731" s="6"/>
      <c r="BD731" s="6"/>
      <c r="BE731" s="6"/>
      <c r="BF731" s="6"/>
      <c r="BG731" s="6"/>
      <c r="BH731" s="6"/>
      <c r="BI731" s="6"/>
      <c r="BJ731" s="6"/>
      <c r="BK731" s="6"/>
      <c r="BL731" s="6"/>
      <c r="BM731" s="6"/>
      <c r="BN731" s="6"/>
      <c r="BO731" s="6"/>
      <c r="BP731" s="6"/>
      <c r="BQ731" s="6"/>
      <c r="BR731" s="6"/>
      <c r="BS731" s="6"/>
      <c r="BT731" s="6"/>
      <c r="BU731" s="6"/>
      <c r="BV731" s="6"/>
      <c r="BW731" s="6"/>
      <c r="BX731" s="11"/>
    </row>
    <row r="732" spans="1:76" ht="15.7">
      <c r="A732" s="6"/>
      <c r="B732" s="7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  <c r="AZ732" s="6"/>
      <c r="BA732" s="6"/>
      <c r="BB732" s="6"/>
      <c r="BC732" s="6"/>
      <c r="BD732" s="6"/>
      <c r="BE732" s="6"/>
      <c r="BF732" s="6"/>
      <c r="BG732" s="6"/>
      <c r="BH732" s="6"/>
      <c r="BI732" s="6"/>
      <c r="BJ732" s="6"/>
      <c r="BK732" s="6"/>
      <c r="BL732" s="6"/>
      <c r="BM732" s="6"/>
      <c r="BN732" s="6"/>
      <c r="BO732" s="6"/>
      <c r="BP732" s="6"/>
      <c r="BQ732" s="6"/>
      <c r="BR732" s="6"/>
      <c r="BS732" s="6"/>
      <c r="BT732" s="6"/>
      <c r="BU732" s="6"/>
      <c r="BV732" s="6"/>
      <c r="BW732" s="6"/>
      <c r="BX732" s="11"/>
    </row>
    <row r="733" spans="1:76" ht="15.7">
      <c r="A733" s="6"/>
      <c r="B733" s="7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  <c r="AZ733" s="6"/>
      <c r="BA733" s="6"/>
      <c r="BB733" s="6"/>
      <c r="BC733" s="6"/>
      <c r="BD733" s="6"/>
      <c r="BE733" s="6"/>
      <c r="BF733" s="6"/>
      <c r="BG733" s="6"/>
      <c r="BH733" s="6"/>
      <c r="BI733" s="6"/>
      <c r="BJ733" s="6"/>
      <c r="BK733" s="6"/>
      <c r="BL733" s="6"/>
      <c r="BM733" s="6"/>
      <c r="BN733" s="6"/>
      <c r="BO733" s="6"/>
      <c r="BP733" s="6"/>
      <c r="BQ733" s="6"/>
      <c r="BR733" s="6"/>
      <c r="BS733" s="6"/>
      <c r="BT733" s="6"/>
      <c r="BU733" s="6"/>
      <c r="BV733" s="6"/>
      <c r="BW733" s="6"/>
      <c r="BX733" s="11"/>
    </row>
    <row r="734" spans="1:76" ht="15.7">
      <c r="A734" s="6"/>
      <c r="B734" s="7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  <c r="AZ734" s="6"/>
      <c r="BA734" s="6"/>
      <c r="BB734" s="6"/>
      <c r="BC734" s="6"/>
      <c r="BD734" s="6"/>
      <c r="BE734" s="6"/>
      <c r="BF734" s="6"/>
      <c r="BG734" s="6"/>
      <c r="BH734" s="6"/>
      <c r="BI734" s="6"/>
      <c r="BJ734" s="6"/>
      <c r="BK734" s="6"/>
      <c r="BL734" s="6"/>
      <c r="BM734" s="6"/>
      <c r="BN734" s="6"/>
      <c r="BO734" s="6"/>
      <c r="BP734" s="6"/>
      <c r="BQ734" s="6"/>
      <c r="BR734" s="6"/>
      <c r="BS734" s="6"/>
      <c r="BT734" s="6"/>
      <c r="BU734" s="6"/>
      <c r="BV734" s="6"/>
      <c r="BW734" s="6"/>
      <c r="BX734" s="11"/>
    </row>
    <row r="735" spans="1:76" ht="15.7">
      <c r="A735" s="6"/>
      <c r="B735" s="7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  <c r="AZ735" s="6"/>
      <c r="BA735" s="6"/>
      <c r="BB735" s="6"/>
      <c r="BC735" s="6"/>
      <c r="BD735" s="6"/>
      <c r="BE735" s="6"/>
      <c r="BF735" s="6"/>
      <c r="BG735" s="6"/>
      <c r="BH735" s="6"/>
      <c r="BI735" s="6"/>
      <c r="BJ735" s="6"/>
      <c r="BK735" s="6"/>
      <c r="BL735" s="6"/>
      <c r="BM735" s="6"/>
      <c r="BN735" s="6"/>
      <c r="BO735" s="6"/>
      <c r="BP735" s="6"/>
      <c r="BQ735" s="6"/>
      <c r="BR735" s="6"/>
      <c r="BS735" s="6"/>
      <c r="BT735" s="6"/>
      <c r="BU735" s="6"/>
      <c r="BV735" s="6"/>
      <c r="BW735" s="6"/>
      <c r="BX735" s="11"/>
    </row>
    <row r="736" spans="1:76" ht="15.7">
      <c r="A736" s="6"/>
      <c r="B736" s="7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  <c r="AZ736" s="6"/>
      <c r="BA736" s="6"/>
      <c r="BB736" s="6"/>
      <c r="BC736" s="6"/>
      <c r="BD736" s="6"/>
      <c r="BE736" s="6"/>
      <c r="BF736" s="6"/>
      <c r="BG736" s="6"/>
      <c r="BH736" s="6"/>
      <c r="BI736" s="6"/>
      <c r="BJ736" s="6"/>
      <c r="BK736" s="6"/>
      <c r="BL736" s="6"/>
      <c r="BM736" s="6"/>
      <c r="BN736" s="6"/>
      <c r="BO736" s="6"/>
      <c r="BP736" s="6"/>
      <c r="BQ736" s="6"/>
      <c r="BR736" s="6"/>
      <c r="BS736" s="6"/>
      <c r="BT736" s="6"/>
      <c r="BU736" s="6"/>
      <c r="BV736" s="6"/>
      <c r="BW736" s="6"/>
      <c r="BX736" s="11"/>
    </row>
    <row r="737" spans="1:76" ht="15.7">
      <c r="A737" s="6"/>
      <c r="B737" s="7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  <c r="AZ737" s="6"/>
      <c r="BA737" s="6"/>
      <c r="BB737" s="6"/>
      <c r="BC737" s="6"/>
      <c r="BD737" s="6"/>
      <c r="BE737" s="6"/>
      <c r="BF737" s="6"/>
      <c r="BG737" s="6"/>
      <c r="BH737" s="6"/>
      <c r="BI737" s="6"/>
      <c r="BJ737" s="6"/>
      <c r="BK737" s="6"/>
      <c r="BL737" s="6"/>
      <c r="BM737" s="6"/>
      <c r="BN737" s="6"/>
      <c r="BO737" s="6"/>
      <c r="BP737" s="6"/>
      <c r="BQ737" s="6"/>
      <c r="BR737" s="6"/>
      <c r="BS737" s="6"/>
      <c r="BT737" s="6"/>
      <c r="BU737" s="6"/>
      <c r="BV737" s="6"/>
      <c r="BW737" s="6"/>
      <c r="BX737" s="11"/>
    </row>
    <row r="738" spans="1:76" ht="15.7">
      <c r="A738" s="6"/>
      <c r="B738" s="7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  <c r="AZ738" s="6"/>
      <c r="BA738" s="6"/>
      <c r="BB738" s="6"/>
      <c r="BC738" s="6"/>
      <c r="BD738" s="6"/>
      <c r="BE738" s="6"/>
      <c r="BF738" s="6"/>
      <c r="BG738" s="6"/>
      <c r="BH738" s="6"/>
      <c r="BI738" s="6"/>
      <c r="BJ738" s="6"/>
      <c r="BK738" s="6"/>
      <c r="BL738" s="6"/>
      <c r="BM738" s="6"/>
      <c r="BN738" s="6"/>
      <c r="BO738" s="6"/>
      <c r="BP738" s="6"/>
      <c r="BQ738" s="6"/>
      <c r="BR738" s="6"/>
      <c r="BS738" s="6"/>
      <c r="BT738" s="6"/>
      <c r="BU738" s="6"/>
      <c r="BV738" s="6"/>
      <c r="BW738" s="6"/>
      <c r="BX738" s="11"/>
    </row>
    <row r="739" spans="1:76" ht="15.7">
      <c r="A739" s="6"/>
      <c r="B739" s="7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  <c r="AZ739" s="6"/>
      <c r="BA739" s="6"/>
      <c r="BB739" s="6"/>
      <c r="BC739" s="6"/>
      <c r="BD739" s="6"/>
      <c r="BE739" s="6"/>
      <c r="BF739" s="6"/>
      <c r="BG739" s="6"/>
      <c r="BH739" s="6"/>
      <c r="BI739" s="6"/>
      <c r="BJ739" s="6"/>
      <c r="BK739" s="6"/>
      <c r="BL739" s="6"/>
      <c r="BM739" s="6"/>
      <c r="BN739" s="6"/>
      <c r="BO739" s="6"/>
      <c r="BP739" s="6"/>
      <c r="BQ739" s="6"/>
      <c r="BR739" s="6"/>
      <c r="BS739" s="6"/>
      <c r="BT739" s="6"/>
      <c r="BU739" s="6"/>
      <c r="BV739" s="6"/>
      <c r="BW739" s="6"/>
      <c r="BX739" s="11"/>
    </row>
    <row r="740" spans="1:76" ht="15.7">
      <c r="A740" s="6"/>
      <c r="B740" s="7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  <c r="AZ740" s="6"/>
      <c r="BA740" s="6"/>
      <c r="BB740" s="6"/>
      <c r="BC740" s="6"/>
      <c r="BD740" s="6"/>
      <c r="BE740" s="6"/>
      <c r="BF740" s="6"/>
      <c r="BG740" s="6"/>
      <c r="BH740" s="6"/>
      <c r="BI740" s="6"/>
      <c r="BJ740" s="6"/>
      <c r="BK740" s="6"/>
      <c r="BL740" s="6"/>
      <c r="BM740" s="6"/>
      <c r="BN740" s="6"/>
      <c r="BO740" s="6"/>
      <c r="BP740" s="6"/>
      <c r="BQ740" s="6"/>
      <c r="BR740" s="6"/>
      <c r="BS740" s="6"/>
      <c r="BT740" s="6"/>
      <c r="BU740" s="6"/>
      <c r="BV740" s="6"/>
      <c r="BW740" s="6"/>
      <c r="BX740" s="11"/>
    </row>
    <row r="741" spans="1:76" ht="15.7">
      <c r="A741" s="6"/>
      <c r="B741" s="7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  <c r="AZ741" s="6"/>
      <c r="BA741" s="6"/>
      <c r="BB741" s="6"/>
      <c r="BC741" s="6"/>
      <c r="BD741" s="6"/>
      <c r="BE741" s="6"/>
      <c r="BF741" s="6"/>
      <c r="BG741" s="6"/>
      <c r="BH741" s="6"/>
      <c r="BI741" s="6"/>
      <c r="BJ741" s="6"/>
      <c r="BK741" s="6"/>
      <c r="BL741" s="6"/>
      <c r="BM741" s="6"/>
      <c r="BN741" s="6"/>
      <c r="BO741" s="6"/>
      <c r="BP741" s="6"/>
      <c r="BQ741" s="6"/>
      <c r="BR741" s="6"/>
      <c r="BS741" s="6"/>
      <c r="BT741" s="6"/>
      <c r="BU741" s="6"/>
      <c r="BV741" s="6"/>
      <c r="BW741" s="6"/>
      <c r="BX741" s="11"/>
    </row>
    <row r="742" spans="1:76" ht="15.7">
      <c r="A742" s="6"/>
      <c r="B742" s="7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  <c r="AZ742" s="6"/>
      <c r="BA742" s="6"/>
      <c r="BB742" s="6"/>
      <c r="BC742" s="6"/>
      <c r="BD742" s="6"/>
      <c r="BE742" s="6"/>
      <c r="BF742" s="6"/>
      <c r="BG742" s="6"/>
      <c r="BH742" s="6"/>
      <c r="BI742" s="6"/>
      <c r="BJ742" s="6"/>
      <c r="BK742" s="6"/>
      <c r="BL742" s="6"/>
      <c r="BM742" s="6"/>
      <c r="BN742" s="6"/>
      <c r="BO742" s="6"/>
      <c r="BP742" s="6"/>
      <c r="BQ742" s="6"/>
      <c r="BR742" s="6"/>
      <c r="BS742" s="6"/>
      <c r="BT742" s="6"/>
      <c r="BU742" s="6"/>
      <c r="BV742" s="6"/>
      <c r="BW742" s="6"/>
      <c r="BX742" s="11"/>
    </row>
    <row r="743" spans="1:76" ht="15.7">
      <c r="A743" s="6"/>
      <c r="B743" s="7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  <c r="AZ743" s="6"/>
      <c r="BA743" s="6"/>
      <c r="BB743" s="6"/>
      <c r="BC743" s="6"/>
      <c r="BD743" s="6"/>
      <c r="BE743" s="6"/>
      <c r="BF743" s="6"/>
      <c r="BG743" s="6"/>
      <c r="BH743" s="6"/>
      <c r="BI743" s="6"/>
      <c r="BJ743" s="6"/>
      <c r="BK743" s="6"/>
      <c r="BL743" s="6"/>
      <c r="BM743" s="6"/>
      <c r="BN743" s="6"/>
      <c r="BO743" s="6"/>
      <c r="BP743" s="6"/>
      <c r="BQ743" s="6"/>
      <c r="BR743" s="6"/>
      <c r="BS743" s="6"/>
      <c r="BT743" s="6"/>
      <c r="BU743" s="6"/>
      <c r="BV743" s="6"/>
      <c r="BW743" s="6"/>
      <c r="BX743" s="11"/>
    </row>
    <row r="744" spans="1:76" ht="15.7">
      <c r="A744" s="6"/>
      <c r="B744" s="7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  <c r="AZ744" s="6"/>
      <c r="BA744" s="6"/>
      <c r="BB744" s="6"/>
      <c r="BC744" s="6"/>
      <c r="BD744" s="6"/>
      <c r="BE744" s="6"/>
      <c r="BF744" s="6"/>
      <c r="BG744" s="6"/>
      <c r="BH744" s="6"/>
      <c r="BI744" s="6"/>
      <c r="BJ744" s="6"/>
      <c r="BK744" s="6"/>
      <c r="BL744" s="6"/>
      <c r="BM744" s="6"/>
      <c r="BN744" s="6"/>
      <c r="BO744" s="6"/>
      <c r="BP744" s="6"/>
      <c r="BQ744" s="6"/>
      <c r="BR744" s="6"/>
      <c r="BS744" s="6"/>
      <c r="BT744" s="6"/>
      <c r="BU744" s="6"/>
      <c r="BV744" s="6"/>
      <c r="BW744" s="6"/>
      <c r="BX744" s="11"/>
    </row>
    <row r="745" spans="1:76" ht="15.7">
      <c r="A745" s="6"/>
      <c r="B745" s="7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  <c r="AZ745" s="6"/>
      <c r="BA745" s="6"/>
      <c r="BB745" s="6"/>
      <c r="BC745" s="6"/>
      <c r="BD745" s="6"/>
      <c r="BE745" s="6"/>
      <c r="BF745" s="6"/>
      <c r="BG745" s="6"/>
      <c r="BH745" s="6"/>
      <c r="BI745" s="6"/>
      <c r="BJ745" s="6"/>
      <c r="BK745" s="6"/>
      <c r="BL745" s="6"/>
      <c r="BM745" s="6"/>
      <c r="BN745" s="6"/>
      <c r="BO745" s="6"/>
      <c r="BP745" s="6"/>
      <c r="BQ745" s="6"/>
      <c r="BR745" s="6"/>
      <c r="BS745" s="6"/>
      <c r="BT745" s="6"/>
      <c r="BU745" s="6"/>
      <c r="BV745" s="6"/>
      <c r="BW745" s="6"/>
      <c r="BX745" s="11"/>
    </row>
    <row r="746" spans="1:76" ht="15.7">
      <c r="A746" s="6"/>
      <c r="B746" s="7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  <c r="AZ746" s="6"/>
      <c r="BA746" s="6"/>
      <c r="BB746" s="6"/>
      <c r="BC746" s="6"/>
      <c r="BD746" s="6"/>
      <c r="BE746" s="6"/>
      <c r="BF746" s="6"/>
      <c r="BG746" s="6"/>
      <c r="BH746" s="6"/>
      <c r="BI746" s="6"/>
      <c r="BJ746" s="6"/>
      <c r="BK746" s="6"/>
      <c r="BL746" s="6"/>
      <c r="BM746" s="6"/>
      <c r="BN746" s="6"/>
      <c r="BO746" s="6"/>
      <c r="BP746" s="6"/>
      <c r="BQ746" s="6"/>
      <c r="BR746" s="6"/>
      <c r="BS746" s="6"/>
      <c r="BT746" s="6"/>
      <c r="BU746" s="6"/>
      <c r="BV746" s="6"/>
      <c r="BW746" s="6"/>
      <c r="BX746" s="11"/>
    </row>
    <row r="747" spans="1:76" ht="15.7">
      <c r="A747" s="6"/>
      <c r="B747" s="7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  <c r="AZ747" s="6"/>
      <c r="BA747" s="6"/>
      <c r="BB747" s="6"/>
      <c r="BC747" s="6"/>
      <c r="BD747" s="6"/>
      <c r="BE747" s="6"/>
      <c r="BF747" s="6"/>
      <c r="BG747" s="6"/>
      <c r="BH747" s="6"/>
      <c r="BI747" s="6"/>
      <c r="BJ747" s="6"/>
      <c r="BK747" s="6"/>
      <c r="BL747" s="6"/>
      <c r="BM747" s="6"/>
      <c r="BN747" s="6"/>
      <c r="BO747" s="6"/>
      <c r="BP747" s="6"/>
      <c r="BQ747" s="6"/>
      <c r="BR747" s="6"/>
      <c r="BS747" s="6"/>
      <c r="BT747" s="6"/>
      <c r="BU747" s="6"/>
      <c r="BV747" s="6"/>
      <c r="BW747" s="6"/>
      <c r="BX747" s="11"/>
    </row>
    <row r="748" spans="1:76" ht="15.7">
      <c r="A748" s="6"/>
      <c r="B748" s="7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  <c r="AZ748" s="6"/>
      <c r="BA748" s="6"/>
      <c r="BB748" s="6"/>
      <c r="BC748" s="6"/>
      <c r="BD748" s="6"/>
      <c r="BE748" s="6"/>
      <c r="BF748" s="6"/>
      <c r="BG748" s="6"/>
      <c r="BH748" s="6"/>
      <c r="BI748" s="6"/>
      <c r="BJ748" s="6"/>
      <c r="BK748" s="6"/>
      <c r="BL748" s="6"/>
      <c r="BM748" s="6"/>
      <c r="BN748" s="6"/>
      <c r="BO748" s="6"/>
      <c r="BP748" s="6"/>
      <c r="BQ748" s="6"/>
      <c r="BR748" s="6"/>
      <c r="BS748" s="6"/>
      <c r="BT748" s="6"/>
      <c r="BU748" s="6"/>
      <c r="BV748" s="6"/>
      <c r="BW748" s="6"/>
      <c r="BX748" s="11"/>
    </row>
    <row r="749" spans="1:76" ht="15.7">
      <c r="A749" s="6"/>
      <c r="B749" s="7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  <c r="AZ749" s="6"/>
      <c r="BA749" s="6"/>
      <c r="BB749" s="6"/>
      <c r="BC749" s="6"/>
      <c r="BD749" s="6"/>
      <c r="BE749" s="6"/>
      <c r="BF749" s="6"/>
      <c r="BG749" s="6"/>
      <c r="BH749" s="6"/>
      <c r="BI749" s="6"/>
      <c r="BJ749" s="6"/>
      <c r="BK749" s="6"/>
      <c r="BL749" s="6"/>
      <c r="BM749" s="6"/>
      <c r="BN749" s="6"/>
      <c r="BO749" s="6"/>
      <c r="BP749" s="6"/>
      <c r="BQ749" s="6"/>
      <c r="BR749" s="6"/>
      <c r="BS749" s="6"/>
      <c r="BT749" s="6"/>
      <c r="BU749" s="6"/>
      <c r="BV749" s="6"/>
      <c r="BW749" s="6"/>
      <c r="BX749" s="11"/>
    </row>
    <row r="750" spans="1:76" ht="15.7">
      <c r="A750" s="6"/>
      <c r="B750" s="7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  <c r="AZ750" s="6"/>
      <c r="BA750" s="6"/>
      <c r="BB750" s="6"/>
      <c r="BC750" s="6"/>
      <c r="BD750" s="6"/>
      <c r="BE750" s="6"/>
      <c r="BF750" s="6"/>
      <c r="BG750" s="6"/>
      <c r="BH750" s="6"/>
      <c r="BI750" s="6"/>
      <c r="BJ750" s="6"/>
      <c r="BK750" s="6"/>
      <c r="BL750" s="6"/>
      <c r="BM750" s="6"/>
      <c r="BN750" s="6"/>
      <c r="BO750" s="6"/>
      <c r="BP750" s="6"/>
      <c r="BQ750" s="6"/>
      <c r="BR750" s="6"/>
      <c r="BS750" s="6"/>
      <c r="BT750" s="6"/>
      <c r="BU750" s="6"/>
      <c r="BV750" s="6"/>
      <c r="BW750" s="6"/>
      <c r="BX750" s="11"/>
    </row>
    <row r="751" spans="1:76" ht="15.7">
      <c r="A751" s="6"/>
      <c r="B751" s="7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  <c r="AZ751" s="6"/>
      <c r="BA751" s="6"/>
      <c r="BB751" s="6"/>
      <c r="BC751" s="6"/>
      <c r="BD751" s="6"/>
      <c r="BE751" s="6"/>
      <c r="BF751" s="6"/>
      <c r="BG751" s="6"/>
      <c r="BH751" s="6"/>
      <c r="BI751" s="6"/>
      <c r="BJ751" s="6"/>
      <c r="BK751" s="6"/>
      <c r="BL751" s="6"/>
      <c r="BM751" s="6"/>
      <c r="BN751" s="6"/>
      <c r="BO751" s="6"/>
      <c r="BP751" s="6"/>
      <c r="BQ751" s="6"/>
      <c r="BR751" s="6"/>
      <c r="BS751" s="6"/>
      <c r="BT751" s="6"/>
      <c r="BU751" s="6"/>
      <c r="BV751" s="6"/>
      <c r="BW751" s="6"/>
      <c r="BX751" s="11"/>
    </row>
    <row r="752" spans="1:76" ht="15.7">
      <c r="A752" s="6"/>
      <c r="B752" s="7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  <c r="AZ752" s="6"/>
      <c r="BA752" s="6"/>
      <c r="BB752" s="6"/>
      <c r="BC752" s="6"/>
      <c r="BD752" s="6"/>
      <c r="BE752" s="6"/>
      <c r="BF752" s="6"/>
      <c r="BG752" s="6"/>
      <c r="BH752" s="6"/>
      <c r="BI752" s="6"/>
      <c r="BJ752" s="6"/>
      <c r="BK752" s="6"/>
      <c r="BL752" s="6"/>
      <c r="BM752" s="6"/>
      <c r="BN752" s="6"/>
      <c r="BO752" s="6"/>
      <c r="BP752" s="6"/>
      <c r="BQ752" s="6"/>
      <c r="BR752" s="6"/>
      <c r="BS752" s="6"/>
      <c r="BT752" s="6"/>
      <c r="BU752" s="6"/>
      <c r="BV752" s="6"/>
      <c r="BW752" s="6"/>
      <c r="BX752" s="11"/>
    </row>
    <row r="753" spans="1:76" ht="15.7">
      <c r="A753" s="6"/>
      <c r="B753" s="7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  <c r="AZ753" s="6"/>
      <c r="BA753" s="6"/>
      <c r="BB753" s="6"/>
      <c r="BC753" s="6"/>
      <c r="BD753" s="6"/>
      <c r="BE753" s="6"/>
      <c r="BF753" s="6"/>
      <c r="BG753" s="6"/>
      <c r="BH753" s="6"/>
      <c r="BI753" s="6"/>
      <c r="BJ753" s="6"/>
      <c r="BK753" s="6"/>
      <c r="BL753" s="6"/>
      <c r="BM753" s="6"/>
      <c r="BN753" s="6"/>
      <c r="BO753" s="6"/>
      <c r="BP753" s="6"/>
      <c r="BQ753" s="6"/>
      <c r="BR753" s="6"/>
      <c r="BS753" s="6"/>
      <c r="BT753" s="6"/>
      <c r="BU753" s="6"/>
      <c r="BV753" s="6"/>
      <c r="BW753" s="6"/>
      <c r="BX753" s="11"/>
    </row>
    <row r="754" spans="1:76" ht="15.7">
      <c r="A754" s="6"/>
      <c r="B754" s="7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  <c r="AZ754" s="6"/>
      <c r="BA754" s="6"/>
      <c r="BB754" s="6"/>
      <c r="BC754" s="6"/>
      <c r="BD754" s="6"/>
      <c r="BE754" s="6"/>
      <c r="BF754" s="6"/>
      <c r="BG754" s="6"/>
      <c r="BH754" s="6"/>
      <c r="BI754" s="6"/>
      <c r="BJ754" s="6"/>
      <c r="BK754" s="6"/>
      <c r="BL754" s="6"/>
      <c r="BM754" s="6"/>
      <c r="BN754" s="6"/>
      <c r="BO754" s="6"/>
      <c r="BP754" s="6"/>
      <c r="BQ754" s="6"/>
      <c r="BR754" s="6"/>
      <c r="BS754" s="6"/>
      <c r="BT754" s="6"/>
      <c r="BU754" s="6"/>
      <c r="BV754" s="6"/>
      <c r="BW754" s="6"/>
      <c r="BX754" s="11"/>
    </row>
    <row r="755" spans="1:76" ht="15.7">
      <c r="A755" s="6"/>
      <c r="B755" s="7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  <c r="AZ755" s="6"/>
      <c r="BA755" s="6"/>
      <c r="BB755" s="6"/>
      <c r="BC755" s="6"/>
      <c r="BD755" s="6"/>
      <c r="BE755" s="6"/>
      <c r="BF755" s="6"/>
      <c r="BG755" s="6"/>
      <c r="BH755" s="6"/>
      <c r="BI755" s="6"/>
      <c r="BJ755" s="6"/>
      <c r="BK755" s="6"/>
      <c r="BL755" s="6"/>
      <c r="BM755" s="6"/>
      <c r="BN755" s="6"/>
      <c r="BO755" s="6"/>
      <c r="BP755" s="6"/>
      <c r="BQ755" s="6"/>
      <c r="BR755" s="6"/>
      <c r="BS755" s="6"/>
      <c r="BT755" s="6"/>
      <c r="BU755" s="6"/>
      <c r="BV755" s="6"/>
      <c r="BW755" s="6"/>
      <c r="BX755" s="11"/>
    </row>
    <row r="756" spans="1:76" ht="15.7">
      <c r="A756" s="6"/>
      <c r="B756" s="7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  <c r="AZ756" s="6"/>
      <c r="BA756" s="6"/>
      <c r="BB756" s="6"/>
      <c r="BC756" s="6"/>
      <c r="BD756" s="6"/>
      <c r="BE756" s="6"/>
      <c r="BF756" s="6"/>
      <c r="BG756" s="6"/>
      <c r="BH756" s="6"/>
      <c r="BI756" s="6"/>
      <c r="BJ756" s="6"/>
      <c r="BK756" s="6"/>
      <c r="BL756" s="6"/>
      <c r="BM756" s="6"/>
      <c r="BN756" s="6"/>
      <c r="BO756" s="6"/>
      <c r="BP756" s="6"/>
      <c r="BQ756" s="6"/>
      <c r="BR756" s="6"/>
      <c r="BS756" s="6"/>
      <c r="BT756" s="6"/>
      <c r="BU756" s="6"/>
      <c r="BV756" s="6"/>
      <c r="BW756" s="6"/>
      <c r="BX756" s="11"/>
    </row>
    <row r="757" spans="1:76" ht="15.7">
      <c r="A757" s="6"/>
      <c r="B757" s="7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  <c r="AZ757" s="6"/>
      <c r="BA757" s="6"/>
      <c r="BB757" s="6"/>
      <c r="BC757" s="6"/>
      <c r="BD757" s="6"/>
      <c r="BE757" s="6"/>
      <c r="BF757" s="6"/>
      <c r="BG757" s="6"/>
      <c r="BH757" s="6"/>
      <c r="BI757" s="6"/>
      <c r="BJ757" s="6"/>
      <c r="BK757" s="6"/>
      <c r="BL757" s="6"/>
      <c r="BM757" s="6"/>
      <c r="BN757" s="6"/>
      <c r="BO757" s="6"/>
      <c r="BP757" s="6"/>
      <c r="BQ757" s="6"/>
      <c r="BR757" s="6"/>
      <c r="BS757" s="6"/>
      <c r="BT757" s="6"/>
      <c r="BU757" s="6"/>
      <c r="BV757" s="6"/>
      <c r="BW757" s="6"/>
      <c r="BX757" s="11"/>
    </row>
    <row r="758" spans="1:76" ht="15.7">
      <c r="A758" s="6"/>
      <c r="B758" s="7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  <c r="AZ758" s="6"/>
      <c r="BA758" s="6"/>
      <c r="BB758" s="6"/>
      <c r="BC758" s="6"/>
      <c r="BD758" s="6"/>
      <c r="BE758" s="6"/>
      <c r="BF758" s="6"/>
      <c r="BG758" s="6"/>
      <c r="BH758" s="6"/>
      <c r="BI758" s="6"/>
      <c r="BJ758" s="6"/>
      <c r="BK758" s="6"/>
      <c r="BL758" s="6"/>
      <c r="BM758" s="6"/>
      <c r="BN758" s="6"/>
      <c r="BO758" s="6"/>
      <c r="BP758" s="6"/>
      <c r="BQ758" s="6"/>
      <c r="BR758" s="6"/>
      <c r="BS758" s="6"/>
      <c r="BT758" s="6"/>
      <c r="BU758" s="6"/>
      <c r="BV758" s="6"/>
      <c r="BW758" s="6"/>
      <c r="BX758" s="11"/>
    </row>
    <row r="759" spans="1:76" ht="15.7">
      <c r="A759" s="6"/>
      <c r="B759" s="7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  <c r="AZ759" s="6"/>
      <c r="BA759" s="6"/>
      <c r="BB759" s="6"/>
      <c r="BC759" s="6"/>
      <c r="BD759" s="6"/>
      <c r="BE759" s="6"/>
      <c r="BF759" s="6"/>
      <c r="BG759" s="6"/>
      <c r="BH759" s="6"/>
      <c r="BI759" s="6"/>
      <c r="BJ759" s="6"/>
      <c r="BK759" s="6"/>
      <c r="BL759" s="6"/>
      <c r="BM759" s="6"/>
      <c r="BN759" s="6"/>
      <c r="BO759" s="6"/>
      <c r="BP759" s="6"/>
      <c r="BQ759" s="6"/>
      <c r="BR759" s="6"/>
      <c r="BS759" s="6"/>
      <c r="BT759" s="6"/>
      <c r="BU759" s="6"/>
      <c r="BV759" s="6"/>
      <c r="BW759" s="6"/>
      <c r="BX759" s="11"/>
    </row>
    <row r="760" spans="1:76" ht="15.7">
      <c r="A760" s="6"/>
      <c r="B760" s="7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  <c r="AZ760" s="6"/>
      <c r="BA760" s="6"/>
      <c r="BB760" s="6"/>
      <c r="BC760" s="6"/>
      <c r="BD760" s="6"/>
      <c r="BE760" s="6"/>
      <c r="BF760" s="6"/>
      <c r="BG760" s="6"/>
      <c r="BH760" s="6"/>
      <c r="BI760" s="6"/>
      <c r="BJ760" s="6"/>
      <c r="BK760" s="6"/>
      <c r="BL760" s="6"/>
      <c r="BM760" s="6"/>
      <c r="BN760" s="6"/>
      <c r="BO760" s="6"/>
      <c r="BP760" s="6"/>
      <c r="BQ760" s="6"/>
      <c r="BR760" s="6"/>
      <c r="BS760" s="6"/>
      <c r="BT760" s="6"/>
      <c r="BU760" s="6"/>
      <c r="BV760" s="6"/>
      <c r="BW760" s="6"/>
      <c r="BX760" s="11"/>
    </row>
    <row r="761" spans="1:76" ht="15.7">
      <c r="A761" s="6"/>
      <c r="B761" s="7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  <c r="AZ761" s="6"/>
      <c r="BA761" s="6"/>
      <c r="BB761" s="6"/>
      <c r="BC761" s="6"/>
      <c r="BD761" s="6"/>
      <c r="BE761" s="6"/>
      <c r="BF761" s="6"/>
      <c r="BG761" s="6"/>
      <c r="BH761" s="6"/>
      <c r="BI761" s="6"/>
      <c r="BJ761" s="6"/>
      <c r="BK761" s="6"/>
      <c r="BL761" s="6"/>
      <c r="BM761" s="6"/>
      <c r="BN761" s="6"/>
      <c r="BO761" s="6"/>
      <c r="BP761" s="6"/>
      <c r="BQ761" s="6"/>
      <c r="BR761" s="6"/>
      <c r="BS761" s="6"/>
      <c r="BT761" s="6"/>
      <c r="BU761" s="6"/>
      <c r="BV761" s="6"/>
      <c r="BW761" s="6"/>
      <c r="BX761" s="11"/>
    </row>
    <row r="762" spans="1:76" ht="15.7">
      <c r="A762" s="6"/>
      <c r="B762" s="7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  <c r="AZ762" s="6"/>
      <c r="BA762" s="6"/>
      <c r="BB762" s="6"/>
      <c r="BC762" s="6"/>
      <c r="BD762" s="6"/>
      <c r="BE762" s="6"/>
      <c r="BF762" s="6"/>
      <c r="BG762" s="6"/>
      <c r="BH762" s="6"/>
      <c r="BI762" s="6"/>
      <c r="BJ762" s="6"/>
      <c r="BK762" s="6"/>
      <c r="BL762" s="6"/>
      <c r="BM762" s="6"/>
      <c r="BN762" s="6"/>
      <c r="BO762" s="6"/>
      <c r="BP762" s="6"/>
      <c r="BQ762" s="6"/>
      <c r="BR762" s="6"/>
      <c r="BS762" s="6"/>
      <c r="BT762" s="6"/>
      <c r="BU762" s="6"/>
      <c r="BV762" s="6"/>
      <c r="BW762" s="6"/>
      <c r="BX762" s="11"/>
    </row>
    <row r="763" spans="1:76" ht="15.7">
      <c r="A763" s="6"/>
      <c r="B763" s="7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  <c r="AZ763" s="6"/>
      <c r="BA763" s="6"/>
      <c r="BB763" s="6"/>
      <c r="BC763" s="6"/>
      <c r="BD763" s="6"/>
      <c r="BE763" s="6"/>
      <c r="BF763" s="6"/>
      <c r="BG763" s="6"/>
      <c r="BH763" s="6"/>
      <c r="BI763" s="6"/>
      <c r="BJ763" s="6"/>
      <c r="BK763" s="6"/>
      <c r="BL763" s="6"/>
      <c r="BM763" s="6"/>
      <c r="BN763" s="6"/>
      <c r="BO763" s="6"/>
      <c r="BP763" s="6"/>
      <c r="BQ763" s="6"/>
      <c r="BR763" s="6"/>
      <c r="BS763" s="6"/>
      <c r="BT763" s="6"/>
      <c r="BU763" s="6"/>
      <c r="BV763" s="6"/>
      <c r="BW763" s="6"/>
      <c r="BX763" s="11"/>
    </row>
    <row r="764" spans="1:76" ht="15.7">
      <c r="A764" s="6"/>
      <c r="B764" s="7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  <c r="AZ764" s="6"/>
      <c r="BA764" s="6"/>
      <c r="BB764" s="6"/>
      <c r="BC764" s="6"/>
      <c r="BD764" s="6"/>
      <c r="BE764" s="6"/>
      <c r="BF764" s="6"/>
      <c r="BG764" s="6"/>
      <c r="BH764" s="6"/>
      <c r="BI764" s="6"/>
      <c r="BJ764" s="6"/>
      <c r="BK764" s="6"/>
      <c r="BL764" s="6"/>
      <c r="BM764" s="6"/>
      <c r="BN764" s="6"/>
      <c r="BO764" s="6"/>
      <c r="BP764" s="6"/>
      <c r="BQ764" s="6"/>
      <c r="BR764" s="6"/>
      <c r="BS764" s="6"/>
      <c r="BT764" s="6"/>
      <c r="BU764" s="6"/>
      <c r="BV764" s="6"/>
      <c r="BW764" s="6"/>
      <c r="BX764" s="11"/>
    </row>
    <row r="765" spans="1:76" ht="15.7">
      <c r="A765" s="6"/>
      <c r="B765" s="7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  <c r="AZ765" s="6"/>
      <c r="BA765" s="6"/>
      <c r="BB765" s="6"/>
      <c r="BC765" s="6"/>
      <c r="BD765" s="6"/>
      <c r="BE765" s="6"/>
      <c r="BF765" s="6"/>
      <c r="BG765" s="6"/>
      <c r="BH765" s="6"/>
      <c r="BI765" s="6"/>
      <c r="BJ765" s="6"/>
      <c r="BK765" s="6"/>
      <c r="BL765" s="6"/>
      <c r="BM765" s="6"/>
      <c r="BN765" s="6"/>
      <c r="BO765" s="6"/>
      <c r="BP765" s="6"/>
      <c r="BQ765" s="6"/>
      <c r="BR765" s="6"/>
      <c r="BS765" s="6"/>
      <c r="BT765" s="6"/>
      <c r="BU765" s="6"/>
      <c r="BV765" s="6"/>
      <c r="BW765" s="6"/>
      <c r="BX765" s="11"/>
    </row>
    <row r="766" spans="1:76" ht="15.7">
      <c r="A766" s="6"/>
      <c r="B766" s="7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  <c r="AZ766" s="6"/>
      <c r="BA766" s="6"/>
      <c r="BB766" s="6"/>
      <c r="BC766" s="6"/>
      <c r="BD766" s="6"/>
      <c r="BE766" s="6"/>
      <c r="BF766" s="6"/>
      <c r="BG766" s="6"/>
      <c r="BH766" s="6"/>
      <c r="BI766" s="6"/>
      <c r="BJ766" s="6"/>
      <c r="BK766" s="6"/>
      <c r="BL766" s="6"/>
      <c r="BM766" s="6"/>
      <c r="BN766" s="6"/>
      <c r="BO766" s="6"/>
      <c r="BP766" s="6"/>
      <c r="BQ766" s="6"/>
      <c r="BR766" s="6"/>
      <c r="BS766" s="6"/>
      <c r="BT766" s="6"/>
      <c r="BU766" s="6"/>
      <c r="BV766" s="6"/>
      <c r="BW766" s="6"/>
      <c r="BX766" s="11"/>
    </row>
    <row r="767" spans="1:76" ht="15.7">
      <c r="A767" s="6"/>
      <c r="B767" s="7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  <c r="AZ767" s="6"/>
      <c r="BA767" s="6"/>
      <c r="BB767" s="6"/>
      <c r="BC767" s="6"/>
      <c r="BD767" s="6"/>
      <c r="BE767" s="6"/>
      <c r="BF767" s="6"/>
      <c r="BG767" s="6"/>
      <c r="BH767" s="6"/>
      <c r="BI767" s="6"/>
      <c r="BJ767" s="6"/>
      <c r="BK767" s="6"/>
      <c r="BL767" s="6"/>
      <c r="BM767" s="6"/>
      <c r="BN767" s="6"/>
      <c r="BO767" s="6"/>
      <c r="BP767" s="6"/>
      <c r="BQ767" s="6"/>
      <c r="BR767" s="6"/>
      <c r="BS767" s="6"/>
      <c r="BT767" s="6"/>
      <c r="BU767" s="6"/>
      <c r="BV767" s="6"/>
      <c r="BW767" s="6"/>
      <c r="BX767" s="11"/>
    </row>
    <row r="768" spans="1:76" ht="15.7">
      <c r="A768" s="6"/>
      <c r="B768" s="7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  <c r="AZ768" s="6"/>
      <c r="BA768" s="6"/>
      <c r="BB768" s="6"/>
      <c r="BC768" s="6"/>
      <c r="BD768" s="6"/>
      <c r="BE768" s="6"/>
      <c r="BF768" s="6"/>
      <c r="BG768" s="6"/>
      <c r="BH768" s="6"/>
      <c r="BI768" s="6"/>
      <c r="BJ768" s="6"/>
      <c r="BK768" s="6"/>
      <c r="BL768" s="6"/>
      <c r="BM768" s="6"/>
      <c r="BN768" s="6"/>
      <c r="BO768" s="6"/>
      <c r="BP768" s="6"/>
      <c r="BQ768" s="6"/>
      <c r="BR768" s="6"/>
      <c r="BS768" s="6"/>
      <c r="BT768" s="6"/>
      <c r="BU768" s="6"/>
      <c r="BV768" s="6"/>
      <c r="BW768" s="6"/>
      <c r="BX768" s="11"/>
    </row>
    <row r="769" spans="1:76" ht="15.7">
      <c r="A769" s="6"/>
      <c r="B769" s="7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  <c r="AZ769" s="6"/>
      <c r="BA769" s="6"/>
      <c r="BB769" s="6"/>
      <c r="BC769" s="6"/>
      <c r="BD769" s="6"/>
      <c r="BE769" s="6"/>
      <c r="BF769" s="6"/>
      <c r="BG769" s="6"/>
      <c r="BH769" s="6"/>
      <c r="BI769" s="6"/>
      <c r="BJ769" s="6"/>
      <c r="BK769" s="6"/>
      <c r="BL769" s="6"/>
      <c r="BM769" s="6"/>
      <c r="BN769" s="6"/>
      <c r="BO769" s="6"/>
      <c r="BP769" s="6"/>
      <c r="BQ769" s="6"/>
      <c r="BR769" s="6"/>
      <c r="BS769" s="6"/>
      <c r="BT769" s="6"/>
      <c r="BU769" s="6"/>
      <c r="BV769" s="6"/>
      <c r="BW769" s="6"/>
      <c r="BX769" s="11"/>
    </row>
    <row r="770" spans="1:76" ht="15.7">
      <c r="A770" s="6"/>
      <c r="B770" s="7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  <c r="AZ770" s="6"/>
      <c r="BA770" s="6"/>
      <c r="BB770" s="6"/>
      <c r="BC770" s="6"/>
      <c r="BD770" s="6"/>
      <c r="BE770" s="6"/>
      <c r="BF770" s="6"/>
      <c r="BG770" s="6"/>
      <c r="BH770" s="6"/>
      <c r="BI770" s="6"/>
      <c r="BJ770" s="6"/>
      <c r="BK770" s="6"/>
      <c r="BL770" s="6"/>
      <c r="BM770" s="6"/>
      <c r="BN770" s="6"/>
      <c r="BO770" s="6"/>
      <c r="BP770" s="6"/>
      <c r="BQ770" s="6"/>
      <c r="BR770" s="6"/>
      <c r="BS770" s="6"/>
      <c r="BT770" s="6"/>
      <c r="BU770" s="6"/>
      <c r="BV770" s="6"/>
      <c r="BW770" s="6"/>
      <c r="BX770" s="11"/>
    </row>
    <row r="771" spans="1:76" ht="15.7">
      <c r="A771" s="6"/>
      <c r="B771" s="7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  <c r="AZ771" s="6"/>
      <c r="BA771" s="6"/>
      <c r="BB771" s="6"/>
      <c r="BC771" s="6"/>
      <c r="BD771" s="6"/>
      <c r="BE771" s="6"/>
      <c r="BF771" s="6"/>
      <c r="BG771" s="6"/>
      <c r="BH771" s="6"/>
      <c r="BI771" s="6"/>
      <c r="BJ771" s="6"/>
      <c r="BK771" s="6"/>
      <c r="BL771" s="6"/>
      <c r="BM771" s="6"/>
      <c r="BN771" s="6"/>
      <c r="BO771" s="6"/>
      <c r="BP771" s="6"/>
      <c r="BQ771" s="6"/>
      <c r="BR771" s="6"/>
      <c r="BS771" s="6"/>
      <c r="BT771" s="6"/>
      <c r="BU771" s="6"/>
      <c r="BV771" s="6"/>
      <c r="BW771" s="6"/>
      <c r="BX771" s="11"/>
    </row>
    <row r="772" spans="1:76" ht="15.7">
      <c r="A772" s="6"/>
      <c r="B772" s="7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  <c r="AZ772" s="6"/>
      <c r="BA772" s="6"/>
      <c r="BB772" s="6"/>
      <c r="BC772" s="6"/>
      <c r="BD772" s="6"/>
      <c r="BE772" s="6"/>
      <c r="BF772" s="6"/>
      <c r="BG772" s="6"/>
      <c r="BH772" s="6"/>
      <c r="BI772" s="6"/>
      <c r="BJ772" s="6"/>
      <c r="BK772" s="6"/>
      <c r="BL772" s="6"/>
      <c r="BM772" s="6"/>
      <c r="BN772" s="6"/>
      <c r="BO772" s="6"/>
      <c r="BP772" s="6"/>
      <c r="BQ772" s="6"/>
      <c r="BR772" s="6"/>
      <c r="BS772" s="6"/>
      <c r="BT772" s="6"/>
      <c r="BU772" s="6"/>
      <c r="BV772" s="6"/>
      <c r="BW772" s="6"/>
      <c r="BX772" s="11"/>
    </row>
    <row r="773" spans="1:76" ht="15.7">
      <c r="A773" s="6"/>
      <c r="B773" s="7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  <c r="AZ773" s="6"/>
      <c r="BA773" s="6"/>
      <c r="BB773" s="6"/>
      <c r="BC773" s="6"/>
      <c r="BD773" s="6"/>
      <c r="BE773" s="6"/>
      <c r="BF773" s="6"/>
      <c r="BG773" s="6"/>
      <c r="BH773" s="6"/>
      <c r="BI773" s="6"/>
      <c r="BJ773" s="6"/>
      <c r="BK773" s="6"/>
      <c r="BL773" s="6"/>
      <c r="BM773" s="6"/>
      <c r="BN773" s="6"/>
      <c r="BO773" s="6"/>
      <c r="BP773" s="6"/>
      <c r="BQ773" s="6"/>
      <c r="BR773" s="6"/>
      <c r="BS773" s="6"/>
      <c r="BT773" s="6"/>
      <c r="BU773" s="6"/>
      <c r="BV773" s="6"/>
      <c r="BW773" s="6"/>
      <c r="BX773" s="11"/>
    </row>
    <row r="774" spans="1:76" ht="15.7">
      <c r="A774" s="6"/>
      <c r="B774" s="7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  <c r="AZ774" s="6"/>
      <c r="BA774" s="6"/>
      <c r="BB774" s="6"/>
      <c r="BC774" s="6"/>
      <c r="BD774" s="6"/>
      <c r="BE774" s="6"/>
      <c r="BF774" s="6"/>
      <c r="BG774" s="6"/>
      <c r="BH774" s="6"/>
      <c r="BI774" s="6"/>
      <c r="BJ774" s="6"/>
      <c r="BK774" s="6"/>
      <c r="BL774" s="6"/>
      <c r="BM774" s="6"/>
      <c r="BN774" s="6"/>
      <c r="BO774" s="6"/>
      <c r="BP774" s="6"/>
      <c r="BQ774" s="6"/>
      <c r="BR774" s="6"/>
      <c r="BS774" s="6"/>
      <c r="BT774" s="6"/>
      <c r="BU774" s="6"/>
      <c r="BV774" s="6"/>
      <c r="BW774" s="6"/>
      <c r="BX774" s="11"/>
    </row>
    <row r="775" spans="1:76" ht="15.7">
      <c r="A775" s="6"/>
      <c r="B775" s="7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  <c r="AZ775" s="6"/>
      <c r="BA775" s="6"/>
      <c r="BB775" s="6"/>
      <c r="BC775" s="6"/>
      <c r="BD775" s="6"/>
      <c r="BE775" s="6"/>
      <c r="BF775" s="6"/>
      <c r="BG775" s="6"/>
      <c r="BH775" s="6"/>
      <c r="BI775" s="6"/>
      <c r="BJ775" s="6"/>
      <c r="BK775" s="6"/>
      <c r="BL775" s="6"/>
      <c r="BM775" s="6"/>
      <c r="BN775" s="6"/>
      <c r="BO775" s="6"/>
      <c r="BP775" s="6"/>
      <c r="BQ775" s="6"/>
      <c r="BR775" s="6"/>
      <c r="BS775" s="6"/>
      <c r="BT775" s="6"/>
      <c r="BU775" s="6"/>
      <c r="BV775" s="6"/>
      <c r="BW775" s="6"/>
      <c r="BX775" s="11"/>
    </row>
    <row r="776" spans="1:76" ht="15.7">
      <c r="A776" s="6"/>
      <c r="B776" s="7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  <c r="AZ776" s="6"/>
      <c r="BA776" s="6"/>
      <c r="BB776" s="6"/>
      <c r="BC776" s="6"/>
      <c r="BD776" s="6"/>
      <c r="BE776" s="6"/>
      <c r="BF776" s="6"/>
      <c r="BG776" s="6"/>
      <c r="BH776" s="6"/>
      <c r="BI776" s="6"/>
      <c r="BJ776" s="6"/>
      <c r="BK776" s="6"/>
      <c r="BL776" s="6"/>
      <c r="BM776" s="6"/>
      <c r="BN776" s="6"/>
      <c r="BO776" s="6"/>
      <c r="BP776" s="6"/>
      <c r="BQ776" s="6"/>
      <c r="BR776" s="6"/>
      <c r="BS776" s="6"/>
      <c r="BT776" s="6"/>
      <c r="BU776" s="6"/>
      <c r="BV776" s="6"/>
      <c r="BW776" s="6"/>
      <c r="BX776" s="11"/>
    </row>
    <row r="777" spans="1:76" ht="15.7">
      <c r="A777" s="6"/>
      <c r="B777" s="7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  <c r="AZ777" s="6"/>
      <c r="BA777" s="6"/>
      <c r="BB777" s="6"/>
      <c r="BC777" s="6"/>
      <c r="BD777" s="6"/>
      <c r="BE777" s="6"/>
      <c r="BF777" s="6"/>
      <c r="BG777" s="6"/>
      <c r="BH777" s="6"/>
      <c r="BI777" s="6"/>
      <c r="BJ777" s="6"/>
      <c r="BK777" s="6"/>
      <c r="BL777" s="6"/>
      <c r="BM777" s="6"/>
      <c r="BN777" s="6"/>
      <c r="BO777" s="6"/>
      <c r="BP777" s="6"/>
      <c r="BQ777" s="6"/>
      <c r="BR777" s="6"/>
      <c r="BS777" s="6"/>
      <c r="BT777" s="6"/>
      <c r="BU777" s="6"/>
      <c r="BV777" s="6"/>
      <c r="BW777" s="6"/>
      <c r="BX777" s="11"/>
    </row>
    <row r="778" spans="1:76" ht="15.7">
      <c r="A778" s="6"/>
      <c r="B778" s="7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  <c r="AZ778" s="6"/>
      <c r="BA778" s="6"/>
      <c r="BB778" s="6"/>
      <c r="BC778" s="6"/>
      <c r="BD778" s="6"/>
      <c r="BE778" s="6"/>
      <c r="BF778" s="6"/>
      <c r="BG778" s="6"/>
      <c r="BH778" s="6"/>
      <c r="BI778" s="6"/>
      <c r="BJ778" s="6"/>
      <c r="BK778" s="6"/>
      <c r="BL778" s="6"/>
      <c r="BM778" s="6"/>
      <c r="BN778" s="6"/>
      <c r="BO778" s="6"/>
      <c r="BP778" s="6"/>
      <c r="BQ778" s="6"/>
      <c r="BR778" s="6"/>
      <c r="BS778" s="6"/>
      <c r="BT778" s="6"/>
      <c r="BU778" s="6"/>
      <c r="BV778" s="6"/>
      <c r="BW778" s="6"/>
      <c r="BX778" s="11"/>
    </row>
    <row r="779" spans="1:76" ht="15.7">
      <c r="A779" s="6"/>
      <c r="B779" s="7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  <c r="AZ779" s="6"/>
      <c r="BA779" s="6"/>
      <c r="BB779" s="6"/>
      <c r="BC779" s="6"/>
      <c r="BD779" s="6"/>
      <c r="BE779" s="6"/>
      <c r="BF779" s="6"/>
      <c r="BG779" s="6"/>
      <c r="BH779" s="6"/>
      <c r="BI779" s="6"/>
      <c r="BJ779" s="6"/>
      <c r="BK779" s="6"/>
      <c r="BL779" s="6"/>
      <c r="BM779" s="6"/>
      <c r="BN779" s="6"/>
      <c r="BO779" s="6"/>
      <c r="BP779" s="6"/>
      <c r="BQ779" s="6"/>
      <c r="BR779" s="6"/>
      <c r="BS779" s="6"/>
      <c r="BT779" s="6"/>
      <c r="BU779" s="6"/>
      <c r="BV779" s="6"/>
      <c r="BW779" s="6"/>
      <c r="BX779" s="11"/>
    </row>
    <row r="780" spans="1:76" ht="15.7">
      <c r="A780" s="6"/>
      <c r="B780" s="7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  <c r="AZ780" s="6"/>
      <c r="BA780" s="6"/>
      <c r="BB780" s="6"/>
      <c r="BC780" s="6"/>
      <c r="BD780" s="6"/>
      <c r="BE780" s="6"/>
      <c r="BF780" s="6"/>
      <c r="BG780" s="6"/>
      <c r="BH780" s="6"/>
      <c r="BI780" s="6"/>
      <c r="BJ780" s="6"/>
      <c r="BK780" s="6"/>
      <c r="BL780" s="6"/>
      <c r="BM780" s="6"/>
      <c r="BN780" s="6"/>
      <c r="BO780" s="6"/>
      <c r="BP780" s="6"/>
      <c r="BQ780" s="6"/>
      <c r="BR780" s="6"/>
      <c r="BS780" s="6"/>
      <c r="BT780" s="6"/>
      <c r="BU780" s="6"/>
      <c r="BV780" s="6"/>
      <c r="BW780" s="6"/>
      <c r="BX780" s="11"/>
    </row>
    <row r="781" spans="1:76" ht="15.7">
      <c r="A781" s="6"/>
      <c r="B781" s="7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  <c r="AZ781" s="6"/>
      <c r="BA781" s="6"/>
      <c r="BB781" s="6"/>
      <c r="BC781" s="6"/>
      <c r="BD781" s="6"/>
      <c r="BE781" s="6"/>
      <c r="BF781" s="6"/>
      <c r="BG781" s="6"/>
      <c r="BH781" s="6"/>
      <c r="BI781" s="6"/>
      <c r="BJ781" s="6"/>
      <c r="BK781" s="6"/>
      <c r="BL781" s="6"/>
      <c r="BM781" s="6"/>
      <c r="BN781" s="6"/>
      <c r="BO781" s="6"/>
      <c r="BP781" s="6"/>
      <c r="BQ781" s="6"/>
      <c r="BR781" s="6"/>
      <c r="BS781" s="6"/>
      <c r="BT781" s="6"/>
      <c r="BU781" s="6"/>
      <c r="BV781" s="6"/>
      <c r="BW781" s="6"/>
      <c r="BX781" s="11"/>
    </row>
    <row r="782" spans="1:76" ht="15.7">
      <c r="A782" s="6"/>
      <c r="B782" s="7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  <c r="AZ782" s="6"/>
      <c r="BA782" s="6"/>
      <c r="BB782" s="6"/>
      <c r="BC782" s="6"/>
      <c r="BD782" s="6"/>
      <c r="BE782" s="6"/>
      <c r="BF782" s="6"/>
      <c r="BG782" s="6"/>
      <c r="BH782" s="6"/>
      <c r="BI782" s="6"/>
      <c r="BJ782" s="6"/>
      <c r="BK782" s="6"/>
      <c r="BL782" s="6"/>
      <c r="BM782" s="6"/>
      <c r="BN782" s="6"/>
      <c r="BO782" s="6"/>
      <c r="BP782" s="6"/>
      <c r="BQ782" s="6"/>
      <c r="BR782" s="6"/>
      <c r="BS782" s="6"/>
      <c r="BT782" s="6"/>
      <c r="BU782" s="6"/>
      <c r="BV782" s="6"/>
      <c r="BW782" s="6"/>
      <c r="BX782" s="11"/>
    </row>
    <row r="783" spans="1:76" ht="15.7">
      <c r="A783" s="6"/>
      <c r="B783" s="7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  <c r="AZ783" s="6"/>
      <c r="BA783" s="6"/>
      <c r="BB783" s="6"/>
      <c r="BC783" s="6"/>
      <c r="BD783" s="6"/>
      <c r="BE783" s="6"/>
      <c r="BF783" s="6"/>
      <c r="BG783" s="6"/>
      <c r="BH783" s="6"/>
      <c r="BI783" s="6"/>
      <c r="BJ783" s="6"/>
      <c r="BK783" s="6"/>
      <c r="BL783" s="6"/>
      <c r="BM783" s="6"/>
      <c r="BN783" s="6"/>
      <c r="BO783" s="6"/>
      <c r="BP783" s="6"/>
      <c r="BQ783" s="6"/>
      <c r="BR783" s="6"/>
      <c r="BS783" s="6"/>
      <c r="BT783" s="6"/>
      <c r="BU783" s="6"/>
      <c r="BV783" s="6"/>
      <c r="BW783" s="6"/>
      <c r="BX783" s="11"/>
    </row>
    <row r="784" spans="1:76" ht="15.7">
      <c r="A784" s="6"/>
      <c r="B784" s="7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  <c r="AZ784" s="6"/>
      <c r="BA784" s="6"/>
      <c r="BB784" s="6"/>
      <c r="BC784" s="6"/>
      <c r="BD784" s="6"/>
      <c r="BE784" s="6"/>
      <c r="BF784" s="6"/>
      <c r="BG784" s="6"/>
      <c r="BH784" s="6"/>
      <c r="BI784" s="6"/>
      <c r="BJ784" s="6"/>
      <c r="BK784" s="6"/>
      <c r="BL784" s="6"/>
      <c r="BM784" s="6"/>
      <c r="BN784" s="6"/>
      <c r="BO784" s="6"/>
      <c r="BP784" s="6"/>
      <c r="BQ784" s="6"/>
      <c r="BR784" s="6"/>
      <c r="BS784" s="6"/>
      <c r="BT784" s="6"/>
      <c r="BU784" s="6"/>
      <c r="BV784" s="6"/>
      <c r="BW784" s="6"/>
      <c r="BX784" s="11"/>
    </row>
    <row r="785" spans="1:76" ht="15.7">
      <c r="A785" s="6"/>
      <c r="B785" s="7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  <c r="AZ785" s="6"/>
      <c r="BA785" s="6"/>
      <c r="BB785" s="6"/>
      <c r="BC785" s="6"/>
      <c r="BD785" s="6"/>
      <c r="BE785" s="6"/>
      <c r="BF785" s="6"/>
      <c r="BG785" s="6"/>
      <c r="BH785" s="6"/>
      <c r="BI785" s="6"/>
      <c r="BJ785" s="6"/>
      <c r="BK785" s="6"/>
      <c r="BL785" s="6"/>
      <c r="BM785" s="6"/>
      <c r="BN785" s="6"/>
      <c r="BO785" s="6"/>
      <c r="BP785" s="6"/>
      <c r="BQ785" s="6"/>
      <c r="BR785" s="6"/>
      <c r="BS785" s="6"/>
      <c r="BT785" s="6"/>
      <c r="BU785" s="6"/>
      <c r="BV785" s="6"/>
      <c r="BW785" s="6"/>
      <c r="BX785" s="11"/>
    </row>
    <row r="786" spans="1:76" ht="15.7">
      <c r="A786" s="6"/>
      <c r="B786" s="7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  <c r="AZ786" s="6"/>
      <c r="BA786" s="6"/>
      <c r="BB786" s="6"/>
      <c r="BC786" s="6"/>
      <c r="BD786" s="6"/>
      <c r="BE786" s="6"/>
      <c r="BF786" s="6"/>
      <c r="BG786" s="6"/>
      <c r="BH786" s="6"/>
      <c r="BI786" s="6"/>
      <c r="BJ786" s="6"/>
      <c r="BK786" s="6"/>
      <c r="BL786" s="6"/>
      <c r="BM786" s="6"/>
      <c r="BN786" s="6"/>
      <c r="BO786" s="6"/>
      <c r="BP786" s="6"/>
      <c r="BQ786" s="6"/>
      <c r="BR786" s="6"/>
      <c r="BS786" s="6"/>
      <c r="BT786" s="6"/>
      <c r="BU786" s="6"/>
      <c r="BV786" s="6"/>
      <c r="BW786" s="6"/>
      <c r="BX786" s="11"/>
    </row>
    <row r="787" spans="1:76" ht="15.7">
      <c r="A787" s="6"/>
      <c r="B787" s="7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  <c r="AZ787" s="6"/>
      <c r="BA787" s="6"/>
      <c r="BB787" s="6"/>
      <c r="BC787" s="6"/>
      <c r="BD787" s="6"/>
      <c r="BE787" s="6"/>
      <c r="BF787" s="6"/>
      <c r="BG787" s="6"/>
      <c r="BH787" s="6"/>
      <c r="BI787" s="6"/>
      <c r="BJ787" s="6"/>
      <c r="BK787" s="6"/>
      <c r="BL787" s="6"/>
      <c r="BM787" s="6"/>
      <c r="BN787" s="6"/>
      <c r="BO787" s="6"/>
      <c r="BP787" s="6"/>
      <c r="BQ787" s="6"/>
      <c r="BR787" s="6"/>
      <c r="BS787" s="6"/>
      <c r="BT787" s="6"/>
      <c r="BU787" s="6"/>
      <c r="BV787" s="6"/>
      <c r="BW787" s="6"/>
      <c r="BX787" s="11"/>
    </row>
    <row r="788" spans="1:76" ht="15.7">
      <c r="A788" s="6"/>
      <c r="B788" s="7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  <c r="AZ788" s="6"/>
      <c r="BA788" s="6"/>
      <c r="BB788" s="6"/>
      <c r="BC788" s="6"/>
      <c r="BD788" s="6"/>
      <c r="BE788" s="6"/>
      <c r="BF788" s="6"/>
      <c r="BG788" s="6"/>
      <c r="BH788" s="6"/>
      <c r="BI788" s="6"/>
      <c r="BJ788" s="6"/>
      <c r="BK788" s="6"/>
      <c r="BL788" s="6"/>
      <c r="BM788" s="6"/>
      <c r="BN788" s="6"/>
      <c r="BO788" s="6"/>
      <c r="BP788" s="6"/>
      <c r="BQ788" s="6"/>
      <c r="BR788" s="6"/>
      <c r="BS788" s="6"/>
      <c r="BT788" s="6"/>
      <c r="BU788" s="6"/>
      <c r="BV788" s="6"/>
      <c r="BW788" s="6"/>
      <c r="BX788" s="11"/>
    </row>
    <row r="789" spans="1:76" ht="15.7">
      <c r="A789" s="6"/>
      <c r="B789" s="7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  <c r="AZ789" s="6"/>
      <c r="BA789" s="6"/>
      <c r="BB789" s="6"/>
      <c r="BC789" s="6"/>
      <c r="BD789" s="6"/>
      <c r="BE789" s="6"/>
      <c r="BF789" s="6"/>
      <c r="BG789" s="6"/>
      <c r="BH789" s="6"/>
      <c r="BI789" s="6"/>
      <c r="BJ789" s="6"/>
      <c r="BK789" s="6"/>
      <c r="BL789" s="6"/>
      <c r="BM789" s="6"/>
      <c r="BN789" s="6"/>
      <c r="BO789" s="6"/>
      <c r="BP789" s="6"/>
      <c r="BQ789" s="6"/>
      <c r="BR789" s="6"/>
      <c r="BS789" s="6"/>
      <c r="BT789" s="6"/>
      <c r="BU789" s="6"/>
      <c r="BV789" s="6"/>
      <c r="BW789" s="6"/>
      <c r="BX789" s="11"/>
    </row>
    <row r="790" spans="1:76" ht="15.7">
      <c r="A790" s="6"/>
      <c r="B790" s="7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  <c r="AZ790" s="6"/>
      <c r="BA790" s="6"/>
      <c r="BB790" s="6"/>
      <c r="BC790" s="6"/>
      <c r="BD790" s="6"/>
      <c r="BE790" s="6"/>
      <c r="BF790" s="6"/>
      <c r="BG790" s="6"/>
      <c r="BH790" s="6"/>
      <c r="BI790" s="6"/>
      <c r="BJ790" s="6"/>
      <c r="BK790" s="6"/>
      <c r="BL790" s="6"/>
      <c r="BM790" s="6"/>
      <c r="BN790" s="6"/>
      <c r="BO790" s="6"/>
      <c r="BP790" s="6"/>
      <c r="BQ790" s="6"/>
      <c r="BR790" s="6"/>
      <c r="BS790" s="6"/>
      <c r="BT790" s="6"/>
      <c r="BU790" s="6"/>
      <c r="BV790" s="6"/>
      <c r="BW790" s="6"/>
      <c r="BX790" s="11"/>
    </row>
    <row r="791" spans="1:76" ht="15.7">
      <c r="A791" s="6"/>
      <c r="B791" s="7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  <c r="AZ791" s="6"/>
      <c r="BA791" s="6"/>
      <c r="BB791" s="6"/>
      <c r="BC791" s="6"/>
      <c r="BD791" s="6"/>
      <c r="BE791" s="6"/>
      <c r="BF791" s="6"/>
      <c r="BG791" s="6"/>
      <c r="BH791" s="6"/>
      <c r="BI791" s="6"/>
      <c r="BJ791" s="6"/>
      <c r="BK791" s="6"/>
      <c r="BL791" s="6"/>
      <c r="BM791" s="6"/>
      <c r="BN791" s="6"/>
      <c r="BO791" s="6"/>
      <c r="BP791" s="6"/>
      <c r="BQ791" s="6"/>
      <c r="BR791" s="6"/>
      <c r="BS791" s="6"/>
      <c r="BT791" s="6"/>
      <c r="BU791" s="6"/>
      <c r="BV791" s="6"/>
      <c r="BW791" s="6"/>
      <c r="BX791" s="11"/>
    </row>
    <row r="792" spans="1:76" ht="15.7">
      <c r="A792" s="6"/>
      <c r="B792" s="7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  <c r="AZ792" s="6"/>
      <c r="BA792" s="6"/>
      <c r="BB792" s="6"/>
      <c r="BC792" s="6"/>
      <c r="BD792" s="6"/>
      <c r="BE792" s="6"/>
      <c r="BF792" s="6"/>
      <c r="BG792" s="6"/>
      <c r="BH792" s="6"/>
      <c r="BI792" s="6"/>
      <c r="BJ792" s="6"/>
      <c r="BK792" s="6"/>
      <c r="BL792" s="6"/>
      <c r="BM792" s="6"/>
      <c r="BN792" s="6"/>
      <c r="BO792" s="6"/>
      <c r="BP792" s="6"/>
      <c r="BQ792" s="6"/>
      <c r="BR792" s="6"/>
      <c r="BS792" s="6"/>
      <c r="BT792" s="6"/>
      <c r="BU792" s="6"/>
      <c r="BV792" s="6"/>
      <c r="BW792" s="6"/>
      <c r="BX792" s="11"/>
    </row>
    <row r="793" spans="1:76" ht="15.7">
      <c r="A793" s="6"/>
      <c r="B793" s="7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  <c r="AZ793" s="6"/>
      <c r="BA793" s="6"/>
      <c r="BB793" s="6"/>
      <c r="BC793" s="6"/>
      <c r="BD793" s="6"/>
      <c r="BE793" s="6"/>
      <c r="BF793" s="6"/>
      <c r="BG793" s="6"/>
      <c r="BH793" s="6"/>
      <c r="BI793" s="6"/>
      <c r="BJ793" s="6"/>
      <c r="BK793" s="6"/>
      <c r="BL793" s="6"/>
      <c r="BM793" s="6"/>
      <c r="BN793" s="6"/>
      <c r="BO793" s="6"/>
      <c r="BP793" s="6"/>
      <c r="BQ793" s="6"/>
      <c r="BR793" s="6"/>
      <c r="BS793" s="6"/>
      <c r="BT793" s="6"/>
      <c r="BU793" s="6"/>
      <c r="BV793" s="6"/>
      <c r="BW793" s="6"/>
      <c r="BX793" s="11"/>
    </row>
    <row r="794" spans="1:76" ht="15.7">
      <c r="A794" s="6"/>
      <c r="B794" s="7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  <c r="AZ794" s="6"/>
      <c r="BA794" s="6"/>
      <c r="BB794" s="6"/>
      <c r="BC794" s="6"/>
      <c r="BD794" s="6"/>
      <c r="BE794" s="6"/>
      <c r="BF794" s="6"/>
      <c r="BG794" s="6"/>
      <c r="BH794" s="6"/>
      <c r="BI794" s="6"/>
      <c r="BJ794" s="6"/>
      <c r="BK794" s="6"/>
      <c r="BL794" s="6"/>
      <c r="BM794" s="6"/>
      <c r="BN794" s="6"/>
      <c r="BO794" s="6"/>
      <c r="BP794" s="6"/>
      <c r="BQ794" s="6"/>
      <c r="BR794" s="6"/>
      <c r="BS794" s="6"/>
      <c r="BT794" s="6"/>
      <c r="BU794" s="6"/>
      <c r="BV794" s="6"/>
      <c r="BW794" s="6"/>
      <c r="BX794" s="11"/>
    </row>
    <row r="795" spans="1:76" ht="15.7">
      <c r="A795" s="6"/>
      <c r="B795" s="7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  <c r="AZ795" s="6"/>
      <c r="BA795" s="6"/>
      <c r="BB795" s="6"/>
      <c r="BC795" s="6"/>
      <c r="BD795" s="6"/>
      <c r="BE795" s="6"/>
      <c r="BF795" s="6"/>
      <c r="BG795" s="6"/>
      <c r="BH795" s="6"/>
      <c r="BI795" s="6"/>
      <c r="BJ795" s="6"/>
      <c r="BK795" s="6"/>
      <c r="BL795" s="6"/>
      <c r="BM795" s="6"/>
      <c r="BN795" s="6"/>
      <c r="BO795" s="6"/>
      <c r="BP795" s="6"/>
      <c r="BQ795" s="6"/>
      <c r="BR795" s="6"/>
      <c r="BS795" s="6"/>
      <c r="BT795" s="6"/>
      <c r="BU795" s="6"/>
      <c r="BV795" s="6"/>
      <c r="BW795" s="6"/>
      <c r="BX795" s="11"/>
    </row>
    <row r="796" spans="1:76" ht="15.7">
      <c r="A796" s="6"/>
      <c r="B796" s="7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  <c r="AZ796" s="6"/>
      <c r="BA796" s="6"/>
      <c r="BB796" s="6"/>
      <c r="BC796" s="6"/>
      <c r="BD796" s="6"/>
      <c r="BE796" s="6"/>
      <c r="BF796" s="6"/>
      <c r="BG796" s="6"/>
      <c r="BH796" s="6"/>
      <c r="BI796" s="6"/>
      <c r="BJ796" s="6"/>
      <c r="BK796" s="6"/>
      <c r="BL796" s="6"/>
      <c r="BM796" s="6"/>
      <c r="BN796" s="6"/>
      <c r="BO796" s="6"/>
      <c r="BP796" s="6"/>
      <c r="BQ796" s="6"/>
      <c r="BR796" s="6"/>
      <c r="BS796" s="6"/>
      <c r="BT796" s="6"/>
      <c r="BU796" s="6"/>
      <c r="BV796" s="6"/>
      <c r="BW796" s="6"/>
      <c r="BX796" s="11"/>
    </row>
    <row r="797" spans="1:76" ht="15.7">
      <c r="A797" s="6"/>
      <c r="B797" s="7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  <c r="AZ797" s="6"/>
      <c r="BA797" s="6"/>
      <c r="BB797" s="6"/>
      <c r="BC797" s="6"/>
      <c r="BD797" s="6"/>
      <c r="BE797" s="6"/>
      <c r="BF797" s="6"/>
      <c r="BG797" s="6"/>
      <c r="BH797" s="6"/>
      <c r="BI797" s="6"/>
      <c r="BJ797" s="6"/>
      <c r="BK797" s="6"/>
      <c r="BL797" s="6"/>
      <c r="BM797" s="6"/>
      <c r="BN797" s="6"/>
      <c r="BO797" s="6"/>
      <c r="BP797" s="6"/>
      <c r="BQ797" s="6"/>
      <c r="BR797" s="6"/>
      <c r="BS797" s="6"/>
      <c r="BT797" s="6"/>
      <c r="BU797" s="6"/>
      <c r="BV797" s="6"/>
      <c r="BW797" s="6"/>
      <c r="BX797" s="11"/>
    </row>
    <row r="798" spans="1:76" ht="15.7">
      <c r="A798" s="6"/>
      <c r="B798" s="7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  <c r="AZ798" s="6"/>
      <c r="BA798" s="6"/>
      <c r="BB798" s="6"/>
      <c r="BC798" s="6"/>
      <c r="BD798" s="6"/>
      <c r="BE798" s="6"/>
      <c r="BF798" s="6"/>
      <c r="BG798" s="6"/>
      <c r="BH798" s="6"/>
      <c r="BI798" s="6"/>
      <c r="BJ798" s="6"/>
      <c r="BK798" s="6"/>
      <c r="BL798" s="6"/>
      <c r="BM798" s="6"/>
      <c r="BN798" s="6"/>
      <c r="BO798" s="6"/>
      <c r="BP798" s="6"/>
      <c r="BQ798" s="6"/>
      <c r="BR798" s="6"/>
      <c r="BS798" s="6"/>
      <c r="BT798" s="6"/>
      <c r="BU798" s="6"/>
      <c r="BV798" s="6"/>
      <c r="BW798" s="6"/>
      <c r="BX798" s="11"/>
    </row>
    <row r="799" spans="1:76" ht="15.7">
      <c r="A799" s="6"/>
      <c r="B799" s="7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  <c r="AZ799" s="6"/>
      <c r="BA799" s="6"/>
      <c r="BB799" s="6"/>
      <c r="BC799" s="6"/>
      <c r="BD799" s="6"/>
      <c r="BE799" s="6"/>
      <c r="BF799" s="6"/>
      <c r="BG799" s="6"/>
      <c r="BH799" s="6"/>
      <c r="BI799" s="6"/>
      <c r="BJ799" s="6"/>
      <c r="BK799" s="6"/>
      <c r="BL799" s="6"/>
      <c r="BM799" s="6"/>
      <c r="BN799" s="6"/>
      <c r="BO799" s="6"/>
      <c r="BP799" s="6"/>
      <c r="BQ799" s="6"/>
      <c r="BR799" s="6"/>
      <c r="BS799" s="6"/>
      <c r="BT799" s="6"/>
      <c r="BU799" s="6"/>
      <c r="BV799" s="6"/>
      <c r="BW799" s="6"/>
      <c r="BX799" s="11"/>
    </row>
    <row r="800" spans="1:76" ht="15.7">
      <c r="A800" s="6"/>
      <c r="B800" s="7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  <c r="AZ800" s="6"/>
      <c r="BA800" s="6"/>
      <c r="BB800" s="6"/>
      <c r="BC800" s="6"/>
      <c r="BD800" s="6"/>
      <c r="BE800" s="6"/>
      <c r="BF800" s="6"/>
      <c r="BG800" s="6"/>
      <c r="BH800" s="6"/>
      <c r="BI800" s="6"/>
      <c r="BJ800" s="6"/>
      <c r="BK800" s="6"/>
      <c r="BL800" s="6"/>
      <c r="BM800" s="6"/>
      <c r="BN800" s="6"/>
      <c r="BO800" s="6"/>
      <c r="BP800" s="6"/>
      <c r="BQ800" s="6"/>
      <c r="BR800" s="6"/>
      <c r="BS800" s="6"/>
      <c r="BT800" s="6"/>
      <c r="BU800" s="6"/>
      <c r="BV800" s="6"/>
      <c r="BW800" s="6"/>
      <c r="BX800" s="11"/>
    </row>
    <row r="801" spans="1:76" ht="15.7">
      <c r="A801" s="6"/>
      <c r="B801" s="7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  <c r="AZ801" s="6"/>
      <c r="BA801" s="6"/>
      <c r="BB801" s="6"/>
      <c r="BC801" s="6"/>
      <c r="BD801" s="6"/>
      <c r="BE801" s="6"/>
      <c r="BF801" s="6"/>
      <c r="BG801" s="6"/>
      <c r="BH801" s="6"/>
      <c r="BI801" s="6"/>
      <c r="BJ801" s="6"/>
      <c r="BK801" s="6"/>
      <c r="BL801" s="6"/>
      <c r="BM801" s="6"/>
      <c r="BN801" s="6"/>
      <c r="BO801" s="6"/>
      <c r="BP801" s="6"/>
      <c r="BQ801" s="6"/>
      <c r="BR801" s="6"/>
      <c r="BS801" s="6"/>
      <c r="BT801" s="6"/>
      <c r="BU801" s="6"/>
      <c r="BV801" s="6"/>
      <c r="BW801" s="6"/>
      <c r="BX801" s="11"/>
    </row>
    <row r="802" spans="1:76" ht="15.7">
      <c r="A802" s="6"/>
      <c r="B802" s="7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  <c r="AZ802" s="6"/>
      <c r="BA802" s="6"/>
      <c r="BB802" s="6"/>
      <c r="BC802" s="6"/>
      <c r="BD802" s="6"/>
      <c r="BE802" s="6"/>
      <c r="BF802" s="6"/>
      <c r="BG802" s="6"/>
      <c r="BH802" s="6"/>
      <c r="BI802" s="6"/>
      <c r="BJ802" s="6"/>
      <c r="BK802" s="6"/>
      <c r="BL802" s="6"/>
      <c r="BM802" s="6"/>
      <c r="BN802" s="6"/>
      <c r="BO802" s="6"/>
      <c r="BP802" s="6"/>
      <c r="BQ802" s="6"/>
      <c r="BR802" s="6"/>
      <c r="BS802" s="6"/>
      <c r="BT802" s="6"/>
      <c r="BU802" s="6"/>
      <c r="BV802" s="6"/>
      <c r="BW802" s="6"/>
      <c r="BX802" s="11"/>
    </row>
    <row r="803" spans="1:76" ht="15.7">
      <c r="A803" s="6"/>
      <c r="B803" s="7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  <c r="AZ803" s="6"/>
      <c r="BA803" s="6"/>
      <c r="BB803" s="6"/>
      <c r="BC803" s="6"/>
      <c r="BD803" s="6"/>
      <c r="BE803" s="6"/>
      <c r="BF803" s="6"/>
      <c r="BG803" s="6"/>
      <c r="BH803" s="6"/>
      <c r="BI803" s="6"/>
      <c r="BJ803" s="6"/>
      <c r="BK803" s="6"/>
      <c r="BL803" s="6"/>
      <c r="BM803" s="6"/>
      <c r="BN803" s="6"/>
      <c r="BO803" s="6"/>
      <c r="BP803" s="6"/>
      <c r="BQ803" s="6"/>
      <c r="BR803" s="6"/>
      <c r="BS803" s="6"/>
      <c r="BT803" s="6"/>
      <c r="BU803" s="6"/>
      <c r="BV803" s="6"/>
      <c r="BW803" s="6"/>
      <c r="BX803" s="11"/>
    </row>
    <row r="804" spans="1:76" ht="15.7">
      <c r="A804" s="6"/>
      <c r="B804" s="7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  <c r="AZ804" s="6"/>
      <c r="BA804" s="6"/>
      <c r="BB804" s="6"/>
      <c r="BC804" s="6"/>
      <c r="BD804" s="6"/>
      <c r="BE804" s="6"/>
      <c r="BF804" s="6"/>
      <c r="BG804" s="6"/>
      <c r="BH804" s="6"/>
      <c r="BI804" s="6"/>
      <c r="BJ804" s="6"/>
      <c r="BK804" s="6"/>
      <c r="BL804" s="6"/>
      <c r="BM804" s="6"/>
      <c r="BN804" s="6"/>
      <c r="BO804" s="6"/>
      <c r="BP804" s="6"/>
      <c r="BQ804" s="6"/>
      <c r="BR804" s="6"/>
      <c r="BS804" s="6"/>
      <c r="BT804" s="6"/>
      <c r="BU804" s="6"/>
      <c r="BV804" s="6"/>
      <c r="BW804" s="6"/>
      <c r="BX804" s="11"/>
    </row>
    <row r="805" spans="1:76" ht="15.7">
      <c r="A805" s="6"/>
      <c r="B805" s="7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  <c r="AZ805" s="6"/>
      <c r="BA805" s="6"/>
      <c r="BB805" s="6"/>
      <c r="BC805" s="6"/>
      <c r="BD805" s="6"/>
      <c r="BE805" s="6"/>
      <c r="BF805" s="6"/>
      <c r="BG805" s="6"/>
      <c r="BH805" s="6"/>
      <c r="BI805" s="6"/>
      <c r="BJ805" s="6"/>
      <c r="BK805" s="6"/>
      <c r="BL805" s="6"/>
      <c r="BM805" s="6"/>
      <c r="BN805" s="6"/>
      <c r="BO805" s="6"/>
      <c r="BP805" s="6"/>
      <c r="BQ805" s="6"/>
      <c r="BR805" s="6"/>
      <c r="BS805" s="6"/>
      <c r="BT805" s="6"/>
      <c r="BU805" s="6"/>
      <c r="BV805" s="6"/>
      <c r="BW805" s="6"/>
      <c r="BX805" s="11"/>
    </row>
    <row r="806" spans="1:76" ht="15.7">
      <c r="A806" s="6"/>
      <c r="B806" s="7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  <c r="AZ806" s="6"/>
      <c r="BA806" s="6"/>
      <c r="BB806" s="6"/>
      <c r="BC806" s="6"/>
      <c r="BD806" s="6"/>
      <c r="BE806" s="6"/>
      <c r="BF806" s="6"/>
      <c r="BG806" s="6"/>
      <c r="BH806" s="6"/>
      <c r="BI806" s="6"/>
      <c r="BJ806" s="6"/>
      <c r="BK806" s="6"/>
      <c r="BL806" s="6"/>
      <c r="BM806" s="6"/>
      <c r="BN806" s="6"/>
      <c r="BO806" s="6"/>
      <c r="BP806" s="6"/>
      <c r="BQ806" s="6"/>
      <c r="BR806" s="6"/>
      <c r="BS806" s="6"/>
      <c r="BT806" s="6"/>
      <c r="BU806" s="6"/>
      <c r="BV806" s="6"/>
      <c r="BW806" s="6"/>
      <c r="BX806" s="11"/>
    </row>
    <row r="807" spans="1:76" ht="15.7">
      <c r="A807" s="6"/>
      <c r="B807" s="7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  <c r="AZ807" s="6"/>
      <c r="BA807" s="6"/>
      <c r="BB807" s="6"/>
      <c r="BC807" s="6"/>
      <c r="BD807" s="6"/>
      <c r="BE807" s="6"/>
      <c r="BF807" s="6"/>
      <c r="BG807" s="6"/>
      <c r="BH807" s="6"/>
      <c r="BI807" s="6"/>
      <c r="BJ807" s="6"/>
      <c r="BK807" s="6"/>
      <c r="BL807" s="6"/>
      <c r="BM807" s="6"/>
      <c r="BN807" s="6"/>
      <c r="BO807" s="6"/>
      <c r="BP807" s="6"/>
      <c r="BQ807" s="6"/>
      <c r="BR807" s="6"/>
      <c r="BS807" s="6"/>
      <c r="BT807" s="6"/>
      <c r="BU807" s="6"/>
      <c r="BV807" s="6"/>
      <c r="BW807" s="6"/>
      <c r="BX807" s="11"/>
    </row>
    <row r="808" spans="1:76" ht="15.7">
      <c r="A808" s="6"/>
      <c r="B808" s="7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  <c r="AZ808" s="6"/>
      <c r="BA808" s="6"/>
      <c r="BB808" s="6"/>
      <c r="BC808" s="6"/>
      <c r="BD808" s="6"/>
      <c r="BE808" s="6"/>
      <c r="BF808" s="6"/>
      <c r="BG808" s="6"/>
      <c r="BH808" s="6"/>
      <c r="BI808" s="6"/>
      <c r="BJ808" s="6"/>
      <c r="BK808" s="6"/>
      <c r="BL808" s="6"/>
      <c r="BM808" s="6"/>
      <c r="BN808" s="6"/>
      <c r="BO808" s="6"/>
      <c r="BP808" s="6"/>
      <c r="BQ808" s="6"/>
      <c r="BR808" s="6"/>
      <c r="BS808" s="6"/>
      <c r="BT808" s="6"/>
      <c r="BU808" s="6"/>
      <c r="BV808" s="6"/>
      <c r="BW808" s="6"/>
      <c r="BX808" s="11"/>
    </row>
    <row r="809" spans="1:76" ht="15.7">
      <c r="A809" s="6"/>
      <c r="B809" s="7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  <c r="AZ809" s="6"/>
      <c r="BA809" s="6"/>
      <c r="BB809" s="6"/>
      <c r="BC809" s="6"/>
      <c r="BD809" s="6"/>
      <c r="BE809" s="6"/>
      <c r="BF809" s="6"/>
      <c r="BG809" s="6"/>
      <c r="BH809" s="6"/>
      <c r="BI809" s="6"/>
      <c r="BJ809" s="6"/>
      <c r="BK809" s="6"/>
      <c r="BL809" s="6"/>
      <c r="BM809" s="6"/>
      <c r="BN809" s="6"/>
      <c r="BO809" s="6"/>
      <c r="BP809" s="6"/>
      <c r="BQ809" s="6"/>
      <c r="BR809" s="6"/>
      <c r="BS809" s="6"/>
      <c r="BT809" s="6"/>
      <c r="BU809" s="6"/>
      <c r="BV809" s="6"/>
      <c r="BW809" s="6"/>
      <c r="BX809" s="11"/>
    </row>
    <row r="810" spans="1:76" ht="15.7">
      <c r="A810" s="6"/>
      <c r="B810" s="7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  <c r="AZ810" s="6"/>
      <c r="BA810" s="6"/>
      <c r="BB810" s="6"/>
      <c r="BC810" s="6"/>
      <c r="BD810" s="6"/>
      <c r="BE810" s="6"/>
      <c r="BF810" s="6"/>
      <c r="BG810" s="6"/>
      <c r="BH810" s="6"/>
      <c r="BI810" s="6"/>
      <c r="BJ810" s="6"/>
      <c r="BK810" s="6"/>
      <c r="BL810" s="6"/>
      <c r="BM810" s="6"/>
      <c r="BN810" s="6"/>
      <c r="BO810" s="6"/>
      <c r="BP810" s="6"/>
      <c r="BQ810" s="6"/>
      <c r="BR810" s="6"/>
      <c r="BS810" s="6"/>
      <c r="BT810" s="6"/>
      <c r="BU810" s="6"/>
      <c r="BV810" s="6"/>
      <c r="BW810" s="6"/>
      <c r="BX810" s="11"/>
    </row>
    <row r="811" spans="1:76" ht="15.7">
      <c r="A811" s="6"/>
      <c r="B811" s="7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  <c r="AZ811" s="6"/>
      <c r="BA811" s="6"/>
      <c r="BB811" s="6"/>
      <c r="BC811" s="6"/>
      <c r="BD811" s="6"/>
      <c r="BE811" s="6"/>
      <c r="BF811" s="6"/>
      <c r="BG811" s="6"/>
      <c r="BH811" s="6"/>
      <c r="BI811" s="6"/>
      <c r="BJ811" s="6"/>
      <c r="BK811" s="6"/>
      <c r="BL811" s="6"/>
      <c r="BM811" s="6"/>
      <c r="BN811" s="6"/>
      <c r="BO811" s="6"/>
      <c r="BP811" s="6"/>
      <c r="BQ811" s="6"/>
      <c r="BR811" s="6"/>
      <c r="BS811" s="6"/>
      <c r="BT811" s="6"/>
      <c r="BU811" s="6"/>
      <c r="BV811" s="6"/>
      <c r="BW811" s="6"/>
      <c r="BX811" s="11"/>
    </row>
    <row r="812" spans="1:76" ht="15.7">
      <c r="A812" s="6"/>
      <c r="B812" s="7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  <c r="AZ812" s="6"/>
      <c r="BA812" s="6"/>
      <c r="BB812" s="6"/>
      <c r="BC812" s="6"/>
      <c r="BD812" s="6"/>
      <c r="BE812" s="6"/>
      <c r="BF812" s="6"/>
      <c r="BG812" s="6"/>
      <c r="BH812" s="6"/>
      <c r="BI812" s="6"/>
      <c r="BJ812" s="6"/>
      <c r="BK812" s="6"/>
      <c r="BL812" s="6"/>
      <c r="BM812" s="6"/>
      <c r="BN812" s="6"/>
      <c r="BO812" s="6"/>
      <c r="BP812" s="6"/>
      <c r="BQ812" s="6"/>
      <c r="BR812" s="6"/>
      <c r="BS812" s="6"/>
      <c r="BT812" s="6"/>
      <c r="BU812" s="6"/>
      <c r="BV812" s="6"/>
      <c r="BW812" s="6"/>
      <c r="BX812" s="11"/>
    </row>
    <row r="813" spans="1:76" ht="15.7">
      <c r="A813" s="6"/>
      <c r="B813" s="7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  <c r="AZ813" s="6"/>
      <c r="BA813" s="6"/>
      <c r="BB813" s="6"/>
      <c r="BC813" s="6"/>
      <c r="BD813" s="6"/>
      <c r="BE813" s="6"/>
      <c r="BF813" s="6"/>
      <c r="BG813" s="6"/>
      <c r="BH813" s="6"/>
      <c r="BI813" s="6"/>
      <c r="BJ813" s="6"/>
      <c r="BK813" s="6"/>
      <c r="BL813" s="6"/>
      <c r="BM813" s="6"/>
      <c r="BN813" s="6"/>
      <c r="BO813" s="6"/>
      <c r="BP813" s="6"/>
      <c r="BQ813" s="6"/>
      <c r="BR813" s="6"/>
      <c r="BS813" s="6"/>
      <c r="BT813" s="6"/>
      <c r="BU813" s="6"/>
      <c r="BV813" s="6"/>
      <c r="BW813" s="6"/>
      <c r="BX813" s="11"/>
    </row>
    <row r="814" spans="1:76" ht="15.7">
      <c r="A814" s="6"/>
      <c r="B814" s="7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  <c r="AZ814" s="6"/>
      <c r="BA814" s="6"/>
      <c r="BB814" s="6"/>
      <c r="BC814" s="6"/>
      <c r="BD814" s="6"/>
      <c r="BE814" s="6"/>
      <c r="BF814" s="6"/>
      <c r="BG814" s="6"/>
      <c r="BH814" s="6"/>
      <c r="BI814" s="6"/>
      <c r="BJ814" s="6"/>
      <c r="BK814" s="6"/>
      <c r="BL814" s="6"/>
      <c r="BM814" s="6"/>
      <c r="BN814" s="6"/>
      <c r="BO814" s="6"/>
      <c r="BP814" s="6"/>
      <c r="BQ814" s="6"/>
      <c r="BR814" s="6"/>
      <c r="BS814" s="6"/>
      <c r="BT814" s="6"/>
      <c r="BU814" s="6"/>
      <c r="BV814" s="6"/>
      <c r="BW814" s="6"/>
      <c r="BX814" s="11"/>
    </row>
    <row r="815" spans="1:76" ht="15.7">
      <c r="A815" s="6"/>
      <c r="B815" s="7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  <c r="AZ815" s="6"/>
      <c r="BA815" s="6"/>
      <c r="BB815" s="6"/>
      <c r="BC815" s="6"/>
      <c r="BD815" s="6"/>
      <c r="BE815" s="6"/>
      <c r="BF815" s="6"/>
      <c r="BG815" s="6"/>
      <c r="BH815" s="6"/>
      <c r="BI815" s="6"/>
      <c r="BJ815" s="6"/>
      <c r="BK815" s="6"/>
      <c r="BL815" s="6"/>
      <c r="BM815" s="6"/>
      <c r="BN815" s="6"/>
      <c r="BO815" s="6"/>
      <c r="BP815" s="6"/>
      <c r="BQ815" s="6"/>
      <c r="BR815" s="6"/>
      <c r="BS815" s="6"/>
      <c r="BT815" s="6"/>
      <c r="BU815" s="6"/>
      <c r="BV815" s="6"/>
      <c r="BW815" s="6"/>
      <c r="BX815" s="11"/>
    </row>
    <row r="816" spans="1:76" ht="15.7">
      <c r="A816" s="6"/>
      <c r="B816" s="7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  <c r="AZ816" s="6"/>
      <c r="BA816" s="6"/>
      <c r="BB816" s="6"/>
      <c r="BC816" s="6"/>
      <c r="BD816" s="6"/>
      <c r="BE816" s="6"/>
      <c r="BF816" s="6"/>
      <c r="BG816" s="6"/>
      <c r="BH816" s="6"/>
      <c r="BI816" s="6"/>
      <c r="BJ816" s="6"/>
      <c r="BK816" s="6"/>
      <c r="BL816" s="6"/>
      <c r="BM816" s="6"/>
      <c r="BN816" s="6"/>
      <c r="BO816" s="6"/>
      <c r="BP816" s="6"/>
      <c r="BQ816" s="6"/>
      <c r="BR816" s="6"/>
      <c r="BS816" s="6"/>
      <c r="BT816" s="6"/>
      <c r="BU816" s="6"/>
      <c r="BV816" s="6"/>
      <c r="BW816" s="6"/>
      <c r="BX816" s="11"/>
    </row>
    <row r="817" spans="1:76" ht="15.7">
      <c r="A817" s="6"/>
      <c r="B817" s="7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  <c r="AZ817" s="6"/>
      <c r="BA817" s="6"/>
      <c r="BB817" s="6"/>
      <c r="BC817" s="6"/>
      <c r="BD817" s="6"/>
      <c r="BE817" s="6"/>
      <c r="BF817" s="6"/>
      <c r="BG817" s="6"/>
      <c r="BH817" s="6"/>
      <c r="BI817" s="6"/>
      <c r="BJ817" s="6"/>
      <c r="BK817" s="6"/>
      <c r="BL817" s="6"/>
      <c r="BM817" s="6"/>
      <c r="BN817" s="6"/>
      <c r="BO817" s="6"/>
      <c r="BP817" s="6"/>
      <c r="BQ817" s="6"/>
      <c r="BR817" s="6"/>
      <c r="BS817" s="6"/>
      <c r="BT817" s="6"/>
      <c r="BU817" s="6"/>
      <c r="BV817" s="6"/>
      <c r="BW817" s="6"/>
      <c r="BX817" s="11"/>
    </row>
    <row r="818" spans="1:76" ht="15.7">
      <c r="A818" s="6"/>
      <c r="B818" s="7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  <c r="AZ818" s="6"/>
      <c r="BA818" s="6"/>
      <c r="BB818" s="6"/>
      <c r="BC818" s="6"/>
      <c r="BD818" s="6"/>
      <c r="BE818" s="6"/>
      <c r="BF818" s="6"/>
      <c r="BG818" s="6"/>
      <c r="BH818" s="6"/>
      <c r="BI818" s="6"/>
      <c r="BJ818" s="6"/>
      <c r="BK818" s="6"/>
      <c r="BL818" s="6"/>
      <c r="BM818" s="6"/>
      <c r="BN818" s="6"/>
      <c r="BO818" s="6"/>
      <c r="BP818" s="6"/>
      <c r="BQ818" s="6"/>
      <c r="BR818" s="6"/>
      <c r="BS818" s="6"/>
      <c r="BT818" s="6"/>
      <c r="BU818" s="6"/>
      <c r="BV818" s="6"/>
      <c r="BW818" s="6"/>
      <c r="BX818" s="11"/>
    </row>
    <row r="819" spans="1:76" ht="15.7">
      <c r="A819" s="6"/>
      <c r="B819" s="7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  <c r="AZ819" s="6"/>
      <c r="BA819" s="6"/>
      <c r="BB819" s="6"/>
      <c r="BC819" s="6"/>
      <c r="BD819" s="6"/>
      <c r="BE819" s="6"/>
      <c r="BF819" s="6"/>
      <c r="BG819" s="6"/>
      <c r="BH819" s="6"/>
      <c r="BI819" s="6"/>
      <c r="BJ819" s="6"/>
      <c r="BK819" s="6"/>
      <c r="BL819" s="6"/>
      <c r="BM819" s="6"/>
      <c r="BN819" s="6"/>
      <c r="BO819" s="6"/>
      <c r="BP819" s="6"/>
      <c r="BQ819" s="6"/>
      <c r="BR819" s="6"/>
      <c r="BS819" s="6"/>
      <c r="BT819" s="6"/>
      <c r="BU819" s="6"/>
      <c r="BV819" s="6"/>
      <c r="BW819" s="6"/>
      <c r="BX819" s="11"/>
    </row>
    <row r="820" spans="1:76" ht="15.7">
      <c r="A820" s="6"/>
      <c r="B820" s="7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  <c r="AZ820" s="6"/>
      <c r="BA820" s="6"/>
      <c r="BB820" s="6"/>
      <c r="BC820" s="6"/>
      <c r="BD820" s="6"/>
      <c r="BE820" s="6"/>
      <c r="BF820" s="6"/>
      <c r="BG820" s="6"/>
      <c r="BH820" s="6"/>
      <c r="BI820" s="6"/>
      <c r="BJ820" s="6"/>
      <c r="BK820" s="6"/>
      <c r="BL820" s="6"/>
      <c r="BM820" s="6"/>
      <c r="BN820" s="6"/>
      <c r="BO820" s="6"/>
      <c r="BP820" s="6"/>
      <c r="BQ820" s="6"/>
      <c r="BR820" s="6"/>
      <c r="BS820" s="6"/>
      <c r="BT820" s="6"/>
      <c r="BU820" s="6"/>
      <c r="BV820" s="6"/>
      <c r="BW820" s="6"/>
      <c r="BX820" s="11"/>
    </row>
    <row r="821" spans="1:76" ht="15.7">
      <c r="A821" s="6"/>
      <c r="B821" s="7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  <c r="AZ821" s="6"/>
      <c r="BA821" s="6"/>
      <c r="BB821" s="6"/>
      <c r="BC821" s="6"/>
      <c r="BD821" s="6"/>
      <c r="BE821" s="6"/>
      <c r="BF821" s="6"/>
      <c r="BG821" s="6"/>
      <c r="BH821" s="6"/>
      <c r="BI821" s="6"/>
      <c r="BJ821" s="6"/>
      <c r="BK821" s="6"/>
      <c r="BL821" s="6"/>
      <c r="BM821" s="6"/>
      <c r="BN821" s="6"/>
      <c r="BO821" s="6"/>
      <c r="BP821" s="6"/>
      <c r="BQ821" s="6"/>
      <c r="BR821" s="6"/>
      <c r="BS821" s="6"/>
      <c r="BT821" s="6"/>
      <c r="BU821" s="6"/>
      <c r="BV821" s="6"/>
      <c r="BW821" s="6"/>
      <c r="BX821" s="11"/>
    </row>
    <row r="822" spans="1:76" ht="15.7">
      <c r="A822" s="6"/>
      <c r="B822" s="7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  <c r="AZ822" s="6"/>
      <c r="BA822" s="6"/>
      <c r="BB822" s="6"/>
      <c r="BC822" s="6"/>
      <c r="BD822" s="6"/>
      <c r="BE822" s="6"/>
      <c r="BF822" s="6"/>
      <c r="BG822" s="6"/>
      <c r="BH822" s="6"/>
      <c r="BI822" s="6"/>
      <c r="BJ822" s="6"/>
      <c r="BK822" s="6"/>
      <c r="BL822" s="6"/>
      <c r="BM822" s="6"/>
      <c r="BN822" s="6"/>
      <c r="BO822" s="6"/>
      <c r="BP822" s="6"/>
      <c r="BQ822" s="6"/>
      <c r="BR822" s="6"/>
      <c r="BS822" s="6"/>
      <c r="BT822" s="6"/>
      <c r="BU822" s="6"/>
      <c r="BV822" s="6"/>
      <c r="BW822" s="6"/>
      <c r="BX822" s="11"/>
    </row>
    <row r="823" spans="1:76" ht="15.7">
      <c r="A823" s="6"/>
      <c r="B823" s="7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  <c r="AZ823" s="6"/>
      <c r="BA823" s="6"/>
      <c r="BB823" s="6"/>
      <c r="BC823" s="6"/>
      <c r="BD823" s="6"/>
      <c r="BE823" s="6"/>
      <c r="BF823" s="6"/>
      <c r="BG823" s="6"/>
      <c r="BH823" s="6"/>
      <c r="BI823" s="6"/>
      <c r="BJ823" s="6"/>
      <c r="BK823" s="6"/>
      <c r="BL823" s="6"/>
      <c r="BM823" s="6"/>
      <c r="BN823" s="6"/>
      <c r="BO823" s="6"/>
      <c r="BP823" s="6"/>
      <c r="BQ823" s="6"/>
      <c r="BR823" s="6"/>
      <c r="BS823" s="6"/>
      <c r="BT823" s="6"/>
      <c r="BU823" s="6"/>
      <c r="BV823" s="6"/>
      <c r="BW823" s="6"/>
      <c r="BX823" s="11"/>
    </row>
    <row r="824" spans="1:76" ht="15.7">
      <c r="A824" s="6"/>
      <c r="B824" s="7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  <c r="AZ824" s="6"/>
      <c r="BA824" s="6"/>
      <c r="BB824" s="6"/>
      <c r="BC824" s="6"/>
      <c r="BD824" s="6"/>
      <c r="BE824" s="6"/>
      <c r="BF824" s="6"/>
      <c r="BG824" s="6"/>
      <c r="BH824" s="6"/>
      <c r="BI824" s="6"/>
      <c r="BJ824" s="6"/>
      <c r="BK824" s="6"/>
      <c r="BL824" s="6"/>
      <c r="BM824" s="6"/>
      <c r="BN824" s="6"/>
      <c r="BO824" s="6"/>
      <c r="BP824" s="6"/>
      <c r="BQ824" s="6"/>
      <c r="BR824" s="6"/>
      <c r="BS824" s="6"/>
      <c r="BT824" s="6"/>
      <c r="BU824" s="6"/>
      <c r="BV824" s="6"/>
      <c r="BW824" s="6"/>
      <c r="BX824" s="11"/>
    </row>
    <row r="825" spans="1:76" ht="15.7">
      <c r="A825" s="6"/>
      <c r="B825" s="7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  <c r="AZ825" s="6"/>
      <c r="BA825" s="6"/>
      <c r="BB825" s="6"/>
      <c r="BC825" s="6"/>
      <c r="BD825" s="6"/>
      <c r="BE825" s="6"/>
      <c r="BF825" s="6"/>
      <c r="BG825" s="6"/>
      <c r="BH825" s="6"/>
      <c r="BI825" s="6"/>
      <c r="BJ825" s="6"/>
      <c r="BK825" s="6"/>
      <c r="BL825" s="6"/>
      <c r="BM825" s="6"/>
      <c r="BN825" s="6"/>
      <c r="BO825" s="6"/>
      <c r="BP825" s="6"/>
      <c r="BQ825" s="6"/>
      <c r="BR825" s="6"/>
      <c r="BS825" s="6"/>
      <c r="BT825" s="6"/>
      <c r="BU825" s="6"/>
      <c r="BV825" s="6"/>
      <c r="BW825" s="6"/>
      <c r="BX825" s="11"/>
    </row>
    <row r="826" spans="1:76" ht="15.7">
      <c r="A826" s="6"/>
      <c r="B826" s="7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  <c r="AZ826" s="6"/>
      <c r="BA826" s="6"/>
      <c r="BB826" s="6"/>
      <c r="BC826" s="6"/>
      <c r="BD826" s="6"/>
      <c r="BE826" s="6"/>
      <c r="BF826" s="6"/>
      <c r="BG826" s="6"/>
      <c r="BH826" s="6"/>
      <c r="BI826" s="6"/>
      <c r="BJ826" s="6"/>
      <c r="BK826" s="6"/>
      <c r="BL826" s="6"/>
      <c r="BM826" s="6"/>
      <c r="BN826" s="6"/>
      <c r="BO826" s="6"/>
      <c r="BP826" s="6"/>
      <c r="BQ826" s="6"/>
      <c r="BR826" s="6"/>
      <c r="BS826" s="6"/>
      <c r="BT826" s="6"/>
      <c r="BU826" s="6"/>
      <c r="BV826" s="6"/>
      <c r="BW826" s="6"/>
      <c r="BX826" s="11"/>
    </row>
    <row r="827" spans="1:76" ht="15.7">
      <c r="A827" s="6"/>
      <c r="B827" s="7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  <c r="AZ827" s="6"/>
      <c r="BA827" s="6"/>
      <c r="BB827" s="6"/>
      <c r="BC827" s="6"/>
      <c r="BD827" s="6"/>
      <c r="BE827" s="6"/>
      <c r="BF827" s="6"/>
      <c r="BG827" s="6"/>
      <c r="BH827" s="6"/>
      <c r="BI827" s="6"/>
      <c r="BJ827" s="6"/>
      <c r="BK827" s="6"/>
      <c r="BL827" s="6"/>
      <c r="BM827" s="6"/>
      <c r="BN827" s="6"/>
      <c r="BO827" s="6"/>
      <c r="BP827" s="6"/>
      <c r="BQ827" s="6"/>
      <c r="BR827" s="6"/>
      <c r="BS827" s="6"/>
      <c r="BT827" s="6"/>
      <c r="BU827" s="6"/>
      <c r="BV827" s="6"/>
      <c r="BW827" s="6"/>
      <c r="BX827" s="11"/>
    </row>
    <row r="828" spans="1:76" ht="15.7">
      <c r="A828" s="6"/>
      <c r="B828" s="7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  <c r="AZ828" s="6"/>
      <c r="BA828" s="6"/>
      <c r="BB828" s="6"/>
      <c r="BC828" s="6"/>
      <c r="BD828" s="6"/>
      <c r="BE828" s="6"/>
      <c r="BF828" s="6"/>
      <c r="BG828" s="6"/>
      <c r="BH828" s="6"/>
      <c r="BI828" s="6"/>
      <c r="BJ828" s="6"/>
      <c r="BK828" s="6"/>
      <c r="BL828" s="6"/>
      <c r="BM828" s="6"/>
      <c r="BN828" s="6"/>
      <c r="BO828" s="6"/>
      <c r="BP828" s="6"/>
      <c r="BQ828" s="6"/>
      <c r="BR828" s="6"/>
      <c r="BS828" s="6"/>
      <c r="BT828" s="6"/>
      <c r="BU828" s="6"/>
      <c r="BV828" s="6"/>
      <c r="BW828" s="6"/>
      <c r="BX828" s="11"/>
    </row>
    <row r="829" spans="1:76" ht="15.7">
      <c r="A829" s="6"/>
      <c r="B829" s="7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  <c r="AZ829" s="6"/>
      <c r="BA829" s="6"/>
      <c r="BB829" s="6"/>
      <c r="BC829" s="6"/>
      <c r="BD829" s="6"/>
      <c r="BE829" s="6"/>
      <c r="BF829" s="6"/>
      <c r="BG829" s="6"/>
      <c r="BH829" s="6"/>
      <c r="BI829" s="6"/>
      <c r="BJ829" s="6"/>
      <c r="BK829" s="6"/>
      <c r="BL829" s="6"/>
      <c r="BM829" s="6"/>
      <c r="BN829" s="6"/>
      <c r="BO829" s="6"/>
      <c r="BP829" s="6"/>
      <c r="BQ829" s="6"/>
      <c r="BR829" s="6"/>
      <c r="BS829" s="6"/>
      <c r="BT829" s="6"/>
      <c r="BU829" s="6"/>
      <c r="BV829" s="6"/>
      <c r="BW829" s="6"/>
      <c r="BX829" s="11"/>
    </row>
    <row r="830" spans="1:76" ht="15.7">
      <c r="A830" s="6"/>
      <c r="B830" s="7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  <c r="AZ830" s="6"/>
      <c r="BA830" s="6"/>
      <c r="BB830" s="6"/>
      <c r="BC830" s="6"/>
      <c r="BD830" s="6"/>
      <c r="BE830" s="6"/>
      <c r="BF830" s="6"/>
      <c r="BG830" s="6"/>
      <c r="BH830" s="6"/>
      <c r="BI830" s="6"/>
      <c r="BJ830" s="6"/>
      <c r="BK830" s="6"/>
      <c r="BL830" s="6"/>
      <c r="BM830" s="6"/>
      <c r="BN830" s="6"/>
      <c r="BO830" s="6"/>
      <c r="BP830" s="6"/>
      <c r="BQ830" s="6"/>
      <c r="BR830" s="6"/>
      <c r="BS830" s="6"/>
      <c r="BT830" s="6"/>
      <c r="BU830" s="6"/>
      <c r="BV830" s="6"/>
      <c r="BW830" s="6"/>
      <c r="BX830" s="11"/>
    </row>
    <row r="831" spans="1:76" ht="15.7">
      <c r="A831" s="6"/>
      <c r="B831" s="7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  <c r="AZ831" s="6"/>
      <c r="BA831" s="6"/>
      <c r="BB831" s="6"/>
      <c r="BC831" s="6"/>
      <c r="BD831" s="6"/>
      <c r="BE831" s="6"/>
      <c r="BF831" s="6"/>
      <c r="BG831" s="6"/>
      <c r="BH831" s="6"/>
      <c r="BI831" s="6"/>
      <c r="BJ831" s="6"/>
      <c r="BK831" s="6"/>
      <c r="BL831" s="6"/>
      <c r="BM831" s="6"/>
      <c r="BN831" s="6"/>
      <c r="BO831" s="6"/>
      <c r="BP831" s="6"/>
      <c r="BQ831" s="6"/>
      <c r="BR831" s="6"/>
      <c r="BS831" s="6"/>
      <c r="BT831" s="6"/>
      <c r="BU831" s="6"/>
      <c r="BV831" s="6"/>
      <c r="BW831" s="6"/>
      <c r="BX831" s="11"/>
    </row>
    <row r="832" spans="1:76" ht="15.7">
      <c r="A832" s="6"/>
      <c r="B832" s="7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  <c r="AZ832" s="6"/>
      <c r="BA832" s="6"/>
      <c r="BB832" s="6"/>
      <c r="BC832" s="6"/>
      <c r="BD832" s="6"/>
      <c r="BE832" s="6"/>
      <c r="BF832" s="6"/>
      <c r="BG832" s="6"/>
      <c r="BH832" s="6"/>
      <c r="BI832" s="6"/>
      <c r="BJ832" s="6"/>
      <c r="BK832" s="6"/>
      <c r="BL832" s="6"/>
      <c r="BM832" s="6"/>
      <c r="BN832" s="6"/>
      <c r="BO832" s="6"/>
      <c r="BP832" s="6"/>
      <c r="BQ832" s="6"/>
      <c r="BR832" s="6"/>
      <c r="BS832" s="6"/>
      <c r="BT832" s="6"/>
      <c r="BU832" s="6"/>
      <c r="BV832" s="6"/>
      <c r="BW832" s="6"/>
      <c r="BX832" s="11"/>
    </row>
    <row r="833" spans="1:76" ht="15.7">
      <c r="A833" s="6"/>
      <c r="B833" s="7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  <c r="AZ833" s="6"/>
      <c r="BA833" s="6"/>
      <c r="BB833" s="6"/>
      <c r="BC833" s="6"/>
      <c r="BD833" s="6"/>
      <c r="BE833" s="6"/>
      <c r="BF833" s="6"/>
      <c r="BG833" s="6"/>
      <c r="BH833" s="6"/>
      <c r="BI833" s="6"/>
      <c r="BJ833" s="6"/>
      <c r="BK833" s="6"/>
      <c r="BL833" s="6"/>
      <c r="BM833" s="6"/>
      <c r="BN833" s="6"/>
      <c r="BO833" s="6"/>
      <c r="BP833" s="6"/>
      <c r="BQ833" s="6"/>
      <c r="BR833" s="6"/>
      <c r="BS833" s="6"/>
      <c r="BT833" s="6"/>
      <c r="BU833" s="6"/>
      <c r="BV833" s="6"/>
      <c r="BW833" s="6"/>
      <c r="BX833" s="11"/>
    </row>
    <row r="834" spans="1:76" ht="15.7">
      <c r="A834" s="6"/>
      <c r="B834" s="7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  <c r="AZ834" s="6"/>
      <c r="BA834" s="6"/>
      <c r="BB834" s="6"/>
      <c r="BC834" s="6"/>
      <c r="BD834" s="6"/>
      <c r="BE834" s="6"/>
      <c r="BF834" s="6"/>
      <c r="BG834" s="6"/>
      <c r="BH834" s="6"/>
      <c r="BI834" s="6"/>
      <c r="BJ834" s="6"/>
      <c r="BK834" s="6"/>
      <c r="BL834" s="6"/>
      <c r="BM834" s="6"/>
      <c r="BN834" s="6"/>
      <c r="BO834" s="6"/>
      <c r="BP834" s="6"/>
      <c r="BQ834" s="6"/>
      <c r="BR834" s="6"/>
      <c r="BS834" s="6"/>
      <c r="BT834" s="6"/>
      <c r="BU834" s="6"/>
      <c r="BV834" s="6"/>
      <c r="BW834" s="6"/>
      <c r="BX834" s="11"/>
    </row>
    <row r="835" spans="1:76" ht="15.7">
      <c r="A835" s="6"/>
      <c r="B835" s="7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  <c r="AZ835" s="6"/>
      <c r="BA835" s="6"/>
      <c r="BB835" s="6"/>
      <c r="BC835" s="6"/>
      <c r="BD835" s="6"/>
      <c r="BE835" s="6"/>
      <c r="BF835" s="6"/>
      <c r="BG835" s="6"/>
      <c r="BH835" s="6"/>
      <c r="BI835" s="6"/>
      <c r="BJ835" s="6"/>
      <c r="BK835" s="6"/>
      <c r="BL835" s="6"/>
      <c r="BM835" s="6"/>
      <c r="BN835" s="6"/>
      <c r="BO835" s="6"/>
      <c r="BP835" s="6"/>
      <c r="BQ835" s="6"/>
      <c r="BR835" s="6"/>
      <c r="BS835" s="6"/>
      <c r="BT835" s="6"/>
      <c r="BU835" s="6"/>
      <c r="BV835" s="6"/>
      <c r="BW835" s="6"/>
      <c r="BX835" s="11"/>
    </row>
    <row r="836" spans="1:76" ht="15.7">
      <c r="A836" s="6"/>
      <c r="B836" s="7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  <c r="AZ836" s="6"/>
      <c r="BA836" s="6"/>
      <c r="BB836" s="6"/>
      <c r="BC836" s="6"/>
      <c r="BD836" s="6"/>
      <c r="BE836" s="6"/>
      <c r="BF836" s="6"/>
      <c r="BG836" s="6"/>
      <c r="BH836" s="6"/>
      <c r="BI836" s="6"/>
      <c r="BJ836" s="6"/>
      <c r="BK836" s="6"/>
      <c r="BL836" s="6"/>
      <c r="BM836" s="6"/>
      <c r="BN836" s="6"/>
      <c r="BO836" s="6"/>
      <c r="BP836" s="6"/>
      <c r="BQ836" s="6"/>
      <c r="BR836" s="6"/>
      <c r="BS836" s="6"/>
      <c r="BT836" s="6"/>
      <c r="BU836" s="6"/>
      <c r="BV836" s="6"/>
      <c r="BW836" s="6"/>
      <c r="BX836" s="11"/>
    </row>
    <row r="837" spans="1:76" ht="15.7">
      <c r="A837" s="6"/>
      <c r="B837" s="7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  <c r="AZ837" s="6"/>
      <c r="BA837" s="6"/>
      <c r="BB837" s="6"/>
      <c r="BC837" s="6"/>
      <c r="BD837" s="6"/>
      <c r="BE837" s="6"/>
      <c r="BF837" s="6"/>
      <c r="BG837" s="6"/>
      <c r="BH837" s="6"/>
      <c r="BI837" s="6"/>
      <c r="BJ837" s="6"/>
      <c r="BK837" s="6"/>
      <c r="BL837" s="6"/>
      <c r="BM837" s="6"/>
      <c r="BN837" s="6"/>
      <c r="BO837" s="6"/>
      <c r="BP837" s="6"/>
      <c r="BQ837" s="6"/>
      <c r="BR837" s="6"/>
      <c r="BS837" s="6"/>
      <c r="BT837" s="6"/>
      <c r="BU837" s="6"/>
      <c r="BV837" s="6"/>
      <c r="BW837" s="6"/>
      <c r="BX837" s="11"/>
    </row>
    <row r="838" spans="1:76" ht="15.7">
      <c r="A838" s="6"/>
      <c r="B838" s="7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  <c r="AZ838" s="6"/>
      <c r="BA838" s="6"/>
      <c r="BB838" s="6"/>
      <c r="BC838" s="6"/>
      <c r="BD838" s="6"/>
      <c r="BE838" s="6"/>
      <c r="BF838" s="6"/>
      <c r="BG838" s="6"/>
      <c r="BH838" s="6"/>
      <c r="BI838" s="6"/>
      <c r="BJ838" s="6"/>
      <c r="BK838" s="6"/>
      <c r="BL838" s="6"/>
      <c r="BM838" s="6"/>
      <c r="BN838" s="6"/>
      <c r="BO838" s="6"/>
      <c r="BP838" s="6"/>
      <c r="BQ838" s="6"/>
      <c r="BR838" s="6"/>
      <c r="BS838" s="6"/>
      <c r="BT838" s="6"/>
      <c r="BU838" s="6"/>
      <c r="BV838" s="6"/>
      <c r="BW838" s="6"/>
      <c r="BX838" s="11"/>
    </row>
    <row r="839" spans="1:76" ht="15.7">
      <c r="A839" s="6"/>
      <c r="B839" s="7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  <c r="AZ839" s="6"/>
      <c r="BA839" s="6"/>
      <c r="BB839" s="6"/>
      <c r="BC839" s="6"/>
      <c r="BD839" s="6"/>
      <c r="BE839" s="6"/>
      <c r="BF839" s="6"/>
      <c r="BG839" s="6"/>
      <c r="BH839" s="6"/>
      <c r="BI839" s="6"/>
      <c r="BJ839" s="6"/>
      <c r="BK839" s="6"/>
      <c r="BL839" s="6"/>
      <c r="BM839" s="6"/>
      <c r="BN839" s="6"/>
      <c r="BO839" s="6"/>
      <c r="BP839" s="6"/>
      <c r="BQ839" s="6"/>
      <c r="BR839" s="6"/>
      <c r="BS839" s="6"/>
      <c r="BT839" s="6"/>
      <c r="BU839" s="6"/>
      <c r="BV839" s="6"/>
      <c r="BW839" s="6"/>
      <c r="BX839" s="11"/>
    </row>
    <row r="840" spans="1:76" ht="15.7">
      <c r="A840" s="6"/>
      <c r="B840" s="7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  <c r="AZ840" s="6"/>
      <c r="BA840" s="6"/>
      <c r="BB840" s="6"/>
      <c r="BC840" s="6"/>
      <c r="BD840" s="6"/>
      <c r="BE840" s="6"/>
      <c r="BF840" s="6"/>
      <c r="BG840" s="6"/>
      <c r="BH840" s="6"/>
      <c r="BI840" s="6"/>
      <c r="BJ840" s="6"/>
      <c r="BK840" s="6"/>
      <c r="BL840" s="6"/>
      <c r="BM840" s="6"/>
      <c r="BN840" s="6"/>
      <c r="BO840" s="6"/>
      <c r="BP840" s="6"/>
      <c r="BQ840" s="6"/>
      <c r="BR840" s="6"/>
      <c r="BS840" s="6"/>
      <c r="BT840" s="6"/>
      <c r="BU840" s="6"/>
      <c r="BV840" s="6"/>
      <c r="BW840" s="6"/>
      <c r="BX840" s="11"/>
    </row>
    <row r="841" spans="1:76" ht="15.7">
      <c r="A841" s="6"/>
      <c r="B841" s="7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  <c r="AZ841" s="6"/>
      <c r="BA841" s="6"/>
      <c r="BB841" s="6"/>
      <c r="BC841" s="6"/>
      <c r="BD841" s="6"/>
      <c r="BE841" s="6"/>
      <c r="BF841" s="6"/>
      <c r="BG841" s="6"/>
      <c r="BH841" s="6"/>
      <c r="BI841" s="6"/>
      <c r="BJ841" s="6"/>
      <c r="BK841" s="6"/>
      <c r="BL841" s="6"/>
      <c r="BM841" s="6"/>
      <c r="BN841" s="6"/>
      <c r="BO841" s="6"/>
      <c r="BP841" s="6"/>
      <c r="BQ841" s="6"/>
      <c r="BR841" s="6"/>
      <c r="BS841" s="6"/>
      <c r="BT841" s="6"/>
      <c r="BU841" s="6"/>
      <c r="BV841" s="6"/>
      <c r="BW841" s="6"/>
      <c r="BX841" s="11"/>
    </row>
    <row r="842" spans="1:76" ht="15.7">
      <c r="A842" s="6"/>
      <c r="B842" s="7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  <c r="AZ842" s="6"/>
      <c r="BA842" s="6"/>
      <c r="BB842" s="6"/>
      <c r="BC842" s="6"/>
      <c r="BD842" s="6"/>
      <c r="BE842" s="6"/>
      <c r="BF842" s="6"/>
      <c r="BG842" s="6"/>
      <c r="BH842" s="6"/>
      <c r="BI842" s="6"/>
      <c r="BJ842" s="6"/>
      <c r="BK842" s="6"/>
      <c r="BL842" s="6"/>
      <c r="BM842" s="6"/>
      <c r="BN842" s="6"/>
      <c r="BO842" s="6"/>
      <c r="BP842" s="6"/>
      <c r="BQ842" s="6"/>
      <c r="BR842" s="6"/>
      <c r="BS842" s="6"/>
      <c r="BT842" s="6"/>
      <c r="BU842" s="6"/>
      <c r="BV842" s="6"/>
      <c r="BW842" s="6"/>
      <c r="BX842" s="11"/>
    </row>
    <row r="843" spans="1:76" ht="15.7">
      <c r="A843" s="6"/>
      <c r="B843" s="7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  <c r="AZ843" s="6"/>
      <c r="BA843" s="6"/>
      <c r="BB843" s="6"/>
      <c r="BC843" s="6"/>
      <c r="BD843" s="6"/>
      <c r="BE843" s="6"/>
      <c r="BF843" s="6"/>
      <c r="BG843" s="6"/>
      <c r="BH843" s="6"/>
      <c r="BI843" s="6"/>
      <c r="BJ843" s="6"/>
      <c r="BK843" s="6"/>
      <c r="BL843" s="6"/>
      <c r="BM843" s="6"/>
      <c r="BN843" s="6"/>
      <c r="BO843" s="6"/>
      <c r="BP843" s="6"/>
      <c r="BQ843" s="6"/>
      <c r="BR843" s="6"/>
      <c r="BS843" s="6"/>
      <c r="BT843" s="6"/>
      <c r="BU843" s="6"/>
      <c r="BV843" s="6"/>
      <c r="BW843" s="6"/>
      <c r="BX843" s="11"/>
    </row>
    <row r="844" spans="1:76" ht="15.7">
      <c r="A844" s="6"/>
      <c r="B844" s="7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  <c r="AZ844" s="6"/>
      <c r="BA844" s="6"/>
      <c r="BB844" s="6"/>
      <c r="BC844" s="6"/>
      <c r="BD844" s="6"/>
      <c r="BE844" s="6"/>
      <c r="BF844" s="6"/>
      <c r="BG844" s="6"/>
      <c r="BH844" s="6"/>
      <c r="BI844" s="6"/>
      <c r="BJ844" s="6"/>
      <c r="BK844" s="6"/>
      <c r="BL844" s="6"/>
      <c r="BM844" s="6"/>
      <c r="BN844" s="6"/>
      <c r="BO844" s="6"/>
      <c r="BP844" s="6"/>
      <c r="BQ844" s="6"/>
      <c r="BR844" s="6"/>
      <c r="BS844" s="6"/>
      <c r="BT844" s="6"/>
      <c r="BU844" s="6"/>
      <c r="BV844" s="6"/>
      <c r="BW844" s="6"/>
      <c r="BX844" s="11"/>
    </row>
    <row r="845" spans="1:76" ht="15.7">
      <c r="A845" s="6"/>
      <c r="B845" s="7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  <c r="AZ845" s="6"/>
      <c r="BA845" s="6"/>
      <c r="BB845" s="6"/>
      <c r="BC845" s="6"/>
      <c r="BD845" s="6"/>
      <c r="BE845" s="6"/>
      <c r="BF845" s="6"/>
      <c r="BG845" s="6"/>
      <c r="BH845" s="6"/>
      <c r="BI845" s="6"/>
      <c r="BJ845" s="6"/>
      <c r="BK845" s="6"/>
      <c r="BL845" s="6"/>
      <c r="BM845" s="6"/>
      <c r="BN845" s="6"/>
      <c r="BO845" s="6"/>
      <c r="BP845" s="6"/>
      <c r="BQ845" s="6"/>
      <c r="BR845" s="6"/>
      <c r="BS845" s="6"/>
      <c r="BT845" s="6"/>
      <c r="BU845" s="6"/>
      <c r="BV845" s="6"/>
      <c r="BW845" s="6"/>
      <c r="BX845" s="11"/>
    </row>
    <row r="846" spans="1:76" ht="15.7">
      <c r="A846" s="6"/>
      <c r="B846" s="7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  <c r="AZ846" s="6"/>
      <c r="BA846" s="6"/>
      <c r="BB846" s="6"/>
      <c r="BC846" s="6"/>
      <c r="BD846" s="6"/>
      <c r="BE846" s="6"/>
      <c r="BF846" s="6"/>
      <c r="BG846" s="6"/>
      <c r="BH846" s="6"/>
      <c r="BI846" s="6"/>
      <c r="BJ846" s="6"/>
      <c r="BK846" s="6"/>
      <c r="BL846" s="6"/>
      <c r="BM846" s="6"/>
      <c r="BN846" s="6"/>
      <c r="BO846" s="6"/>
      <c r="BP846" s="6"/>
      <c r="BQ846" s="6"/>
      <c r="BR846" s="6"/>
      <c r="BS846" s="6"/>
      <c r="BT846" s="6"/>
      <c r="BU846" s="6"/>
      <c r="BV846" s="6"/>
      <c r="BW846" s="6"/>
      <c r="BX846" s="11"/>
    </row>
    <row r="847" spans="1:76" ht="15.7">
      <c r="A847" s="6"/>
      <c r="B847" s="7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  <c r="AZ847" s="6"/>
      <c r="BA847" s="6"/>
      <c r="BB847" s="6"/>
      <c r="BC847" s="6"/>
      <c r="BD847" s="6"/>
      <c r="BE847" s="6"/>
      <c r="BF847" s="6"/>
      <c r="BG847" s="6"/>
      <c r="BH847" s="6"/>
      <c r="BI847" s="6"/>
      <c r="BJ847" s="6"/>
      <c r="BK847" s="6"/>
      <c r="BL847" s="6"/>
      <c r="BM847" s="6"/>
      <c r="BN847" s="6"/>
      <c r="BO847" s="6"/>
      <c r="BP847" s="6"/>
      <c r="BQ847" s="6"/>
      <c r="BR847" s="6"/>
      <c r="BS847" s="6"/>
      <c r="BT847" s="6"/>
      <c r="BU847" s="6"/>
      <c r="BV847" s="6"/>
      <c r="BW847" s="6"/>
      <c r="BX847" s="11"/>
    </row>
    <row r="848" spans="1:76" ht="15.7">
      <c r="A848" s="6"/>
      <c r="B848" s="7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  <c r="AZ848" s="6"/>
      <c r="BA848" s="6"/>
      <c r="BB848" s="6"/>
      <c r="BC848" s="6"/>
      <c r="BD848" s="6"/>
      <c r="BE848" s="6"/>
      <c r="BF848" s="6"/>
      <c r="BG848" s="6"/>
      <c r="BH848" s="6"/>
      <c r="BI848" s="6"/>
      <c r="BJ848" s="6"/>
      <c r="BK848" s="6"/>
      <c r="BL848" s="6"/>
      <c r="BM848" s="6"/>
      <c r="BN848" s="6"/>
      <c r="BO848" s="6"/>
      <c r="BP848" s="6"/>
      <c r="BQ848" s="6"/>
      <c r="BR848" s="6"/>
      <c r="BS848" s="6"/>
      <c r="BT848" s="6"/>
      <c r="BU848" s="6"/>
      <c r="BV848" s="6"/>
      <c r="BW848" s="6"/>
      <c r="BX848" s="11"/>
    </row>
    <row r="849" spans="1:76" ht="15.7">
      <c r="A849" s="6"/>
      <c r="B849" s="7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  <c r="AZ849" s="6"/>
      <c r="BA849" s="6"/>
      <c r="BB849" s="6"/>
      <c r="BC849" s="6"/>
      <c r="BD849" s="6"/>
      <c r="BE849" s="6"/>
      <c r="BF849" s="6"/>
      <c r="BG849" s="6"/>
      <c r="BH849" s="6"/>
      <c r="BI849" s="6"/>
      <c r="BJ849" s="6"/>
      <c r="BK849" s="6"/>
      <c r="BL849" s="6"/>
      <c r="BM849" s="6"/>
      <c r="BN849" s="6"/>
      <c r="BO849" s="6"/>
      <c r="BP849" s="6"/>
      <c r="BQ849" s="6"/>
      <c r="BR849" s="6"/>
      <c r="BS849" s="6"/>
      <c r="BT849" s="6"/>
      <c r="BU849" s="6"/>
      <c r="BV849" s="6"/>
      <c r="BW849" s="6"/>
      <c r="BX849" s="11"/>
    </row>
    <row r="850" spans="1:76" ht="15.7">
      <c r="A850" s="6"/>
      <c r="B850" s="7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  <c r="AZ850" s="6"/>
      <c r="BA850" s="6"/>
      <c r="BB850" s="6"/>
      <c r="BC850" s="6"/>
      <c r="BD850" s="6"/>
      <c r="BE850" s="6"/>
      <c r="BF850" s="6"/>
      <c r="BG850" s="6"/>
      <c r="BH850" s="6"/>
      <c r="BI850" s="6"/>
      <c r="BJ850" s="6"/>
      <c r="BK850" s="6"/>
      <c r="BL850" s="6"/>
      <c r="BM850" s="6"/>
      <c r="BN850" s="6"/>
      <c r="BO850" s="6"/>
      <c r="BP850" s="6"/>
      <c r="BQ850" s="6"/>
      <c r="BR850" s="6"/>
      <c r="BS850" s="6"/>
      <c r="BT850" s="6"/>
      <c r="BU850" s="6"/>
      <c r="BV850" s="6"/>
      <c r="BW850" s="6"/>
      <c r="BX850" s="11"/>
    </row>
    <row r="851" spans="1:76" ht="15.7">
      <c r="A851" s="6"/>
      <c r="B851" s="7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  <c r="AZ851" s="6"/>
      <c r="BA851" s="6"/>
      <c r="BB851" s="6"/>
      <c r="BC851" s="6"/>
      <c r="BD851" s="6"/>
      <c r="BE851" s="6"/>
      <c r="BF851" s="6"/>
      <c r="BG851" s="6"/>
      <c r="BH851" s="6"/>
      <c r="BI851" s="6"/>
      <c r="BJ851" s="6"/>
      <c r="BK851" s="6"/>
      <c r="BL851" s="6"/>
      <c r="BM851" s="6"/>
      <c r="BN851" s="6"/>
      <c r="BO851" s="6"/>
      <c r="BP851" s="6"/>
      <c r="BQ851" s="6"/>
      <c r="BR851" s="6"/>
      <c r="BS851" s="6"/>
      <c r="BT851" s="6"/>
      <c r="BU851" s="6"/>
      <c r="BV851" s="6"/>
      <c r="BW851" s="6"/>
      <c r="BX851" s="11"/>
    </row>
    <row r="852" spans="1:76" ht="15.7">
      <c r="A852" s="6"/>
      <c r="B852" s="7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  <c r="AZ852" s="6"/>
      <c r="BA852" s="6"/>
      <c r="BB852" s="6"/>
      <c r="BC852" s="6"/>
      <c r="BD852" s="6"/>
      <c r="BE852" s="6"/>
      <c r="BF852" s="6"/>
      <c r="BG852" s="6"/>
      <c r="BH852" s="6"/>
      <c r="BI852" s="6"/>
      <c r="BJ852" s="6"/>
      <c r="BK852" s="6"/>
      <c r="BL852" s="6"/>
      <c r="BM852" s="6"/>
      <c r="BN852" s="6"/>
      <c r="BO852" s="6"/>
      <c r="BP852" s="6"/>
      <c r="BQ852" s="6"/>
      <c r="BR852" s="6"/>
      <c r="BS852" s="6"/>
      <c r="BT852" s="6"/>
      <c r="BU852" s="6"/>
      <c r="BV852" s="6"/>
      <c r="BW852" s="6"/>
      <c r="BX852" s="11"/>
    </row>
    <row r="853" spans="1:76" ht="15.7">
      <c r="A853" s="6"/>
      <c r="B853" s="7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  <c r="AZ853" s="6"/>
      <c r="BA853" s="6"/>
      <c r="BB853" s="6"/>
      <c r="BC853" s="6"/>
      <c r="BD853" s="6"/>
      <c r="BE853" s="6"/>
      <c r="BF853" s="6"/>
      <c r="BG853" s="6"/>
      <c r="BH853" s="6"/>
      <c r="BI853" s="6"/>
      <c r="BJ853" s="6"/>
      <c r="BK853" s="6"/>
      <c r="BL853" s="6"/>
      <c r="BM853" s="6"/>
      <c r="BN853" s="6"/>
      <c r="BO853" s="6"/>
      <c r="BP853" s="6"/>
      <c r="BQ853" s="6"/>
      <c r="BR853" s="6"/>
      <c r="BS853" s="6"/>
      <c r="BT853" s="6"/>
      <c r="BU853" s="6"/>
      <c r="BV853" s="6"/>
      <c r="BW853" s="6"/>
      <c r="BX853" s="11"/>
    </row>
    <row r="854" spans="1:76" ht="15.7">
      <c r="A854" s="6"/>
      <c r="B854" s="7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  <c r="AZ854" s="6"/>
      <c r="BA854" s="6"/>
      <c r="BB854" s="6"/>
      <c r="BC854" s="6"/>
      <c r="BD854" s="6"/>
      <c r="BE854" s="6"/>
      <c r="BF854" s="6"/>
      <c r="BG854" s="6"/>
      <c r="BH854" s="6"/>
      <c r="BI854" s="6"/>
      <c r="BJ854" s="6"/>
      <c r="BK854" s="6"/>
      <c r="BL854" s="6"/>
      <c r="BM854" s="6"/>
      <c r="BN854" s="6"/>
      <c r="BO854" s="6"/>
      <c r="BP854" s="6"/>
      <c r="BQ854" s="6"/>
      <c r="BR854" s="6"/>
      <c r="BS854" s="6"/>
      <c r="BT854" s="6"/>
      <c r="BU854" s="6"/>
      <c r="BV854" s="6"/>
      <c r="BW854" s="6"/>
      <c r="BX854" s="11"/>
    </row>
    <row r="855" spans="1:76" ht="15.7">
      <c r="A855" s="6"/>
      <c r="B855" s="7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  <c r="AZ855" s="6"/>
      <c r="BA855" s="6"/>
      <c r="BB855" s="6"/>
      <c r="BC855" s="6"/>
      <c r="BD855" s="6"/>
      <c r="BE855" s="6"/>
      <c r="BF855" s="6"/>
      <c r="BG855" s="6"/>
      <c r="BH855" s="6"/>
      <c r="BI855" s="6"/>
      <c r="BJ855" s="6"/>
      <c r="BK855" s="6"/>
      <c r="BL855" s="6"/>
      <c r="BM855" s="6"/>
      <c r="BN855" s="6"/>
      <c r="BO855" s="6"/>
      <c r="BP855" s="6"/>
      <c r="BQ855" s="6"/>
      <c r="BR855" s="6"/>
      <c r="BS855" s="6"/>
      <c r="BT855" s="6"/>
      <c r="BU855" s="6"/>
      <c r="BV855" s="6"/>
      <c r="BW855" s="6"/>
      <c r="BX855" s="11"/>
    </row>
    <row r="856" spans="1:76" ht="15.7">
      <c r="A856" s="6"/>
      <c r="B856" s="7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  <c r="AZ856" s="6"/>
      <c r="BA856" s="6"/>
      <c r="BB856" s="6"/>
      <c r="BC856" s="6"/>
      <c r="BD856" s="6"/>
      <c r="BE856" s="6"/>
      <c r="BF856" s="6"/>
      <c r="BG856" s="6"/>
      <c r="BH856" s="6"/>
      <c r="BI856" s="6"/>
      <c r="BJ856" s="6"/>
      <c r="BK856" s="6"/>
      <c r="BL856" s="6"/>
      <c r="BM856" s="6"/>
      <c r="BN856" s="6"/>
      <c r="BO856" s="6"/>
      <c r="BP856" s="6"/>
      <c r="BQ856" s="6"/>
      <c r="BR856" s="6"/>
      <c r="BS856" s="6"/>
      <c r="BT856" s="6"/>
      <c r="BU856" s="6"/>
      <c r="BV856" s="6"/>
      <c r="BW856" s="6"/>
      <c r="BX856" s="11"/>
    </row>
    <row r="857" spans="1:76" ht="15.7">
      <c r="A857" s="6"/>
      <c r="B857" s="7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  <c r="AZ857" s="6"/>
      <c r="BA857" s="6"/>
      <c r="BB857" s="6"/>
      <c r="BC857" s="6"/>
      <c r="BD857" s="6"/>
      <c r="BE857" s="6"/>
      <c r="BF857" s="6"/>
      <c r="BG857" s="6"/>
      <c r="BH857" s="6"/>
      <c r="BI857" s="6"/>
      <c r="BJ857" s="6"/>
      <c r="BK857" s="6"/>
      <c r="BL857" s="6"/>
      <c r="BM857" s="6"/>
      <c r="BN857" s="6"/>
      <c r="BO857" s="6"/>
      <c r="BP857" s="6"/>
      <c r="BQ857" s="6"/>
      <c r="BR857" s="6"/>
      <c r="BS857" s="6"/>
      <c r="BT857" s="6"/>
      <c r="BU857" s="6"/>
      <c r="BV857" s="6"/>
      <c r="BW857" s="6"/>
      <c r="BX857" s="11"/>
    </row>
    <row r="858" spans="1:76" ht="15.7">
      <c r="A858" s="6"/>
      <c r="B858" s="7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  <c r="AZ858" s="6"/>
      <c r="BA858" s="6"/>
      <c r="BB858" s="6"/>
      <c r="BC858" s="6"/>
      <c r="BD858" s="6"/>
      <c r="BE858" s="6"/>
      <c r="BF858" s="6"/>
      <c r="BG858" s="6"/>
      <c r="BH858" s="6"/>
      <c r="BI858" s="6"/>
      <c r="BJ858" s="6"/>
      <c r="BK858" s="6"/>
      <c r="BL858" s="6"/>
      <c r="BM858" s="6"/>
      <c r="BN858" s="6"/>
      <c r="BO858" s="6"/>
      <c r="BP858" s="6"/>
      <c r="BQ858" s="6"/>
      <c r="BR858" s="6"/>
      <c r="BS858" s="6"/>
      <c r="BT858" s="6"/>
      <c r="BU858" s="6"/>
      <c r="BV858" s="6"/>
      <c r="BW858" s="6"/>
      <c r="BX858" s="11"/>
    </row>
    <row r="859" spans="1:76" ht="15.7">
      <c r="A859" s="6"/>
      <c r="B859" s="7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  <c r="AZ859" s="6"/>
      <c r="BA859" s="6"/>
      <c r="BB859" s="6"/>
      <c r="BC859" s="6"/>
      <c r="BD859" s="6"/>
      <c r="BE859" s="6"/>
      <c r="BF859" s="6"/>
      <c r="BG859" s="6"/>
      <c r="BH859" s="6"/>
      <c r="BI859" s="6"/>
      <c r="BJ859" s="6"/>
      <c r="BK859" s="6"/>
      <c r="BL859" s="6"/>
      <c r="BM859" s="6"/>
      <c r="BN859" s="6"/>
      <c r="BO859" s="6"/>
      <c r="BP859" s="6"/>
      <c r="BQ859" s="6"/>
      <c r="BR859" s="6"/>
      <c r="BS859" s="6"/>
      <c r="BT859" s="6"/>
      <c r="BU859" s="6"/>
      <c r="BV859" s="6"/>
      <c r="BW859" s="6"/>
      <c r="BX859" s="11"/>
    </row>
    <row r="860" spans="1:76" ht="15.7">
      <c r="A860" s="6"/>
      <c r="B860" s="7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  <c r="AZ860" s="6"/>
      <c r="BA860" s="6"/>
      <c r="BB860" s="6"/>
      <c r="BC860" s="6"/>
      <c r="BD860" s="6"/>
      <c r="BE860" s="6"/>
      <c r="BF860" s="6"/>
      <c r="BG860" s="6"/>
      <c r="BH860" s="6"/>
      <c r="BI860" s="6"/>
      <c r="BJ860" s="6"/>
      <c r="BK860" s="6"/>
      <c r="BL860" s="6"/>
      <c r="BM860" s="6"/>
      <c r="BN860" s="6"/>
      <c r="BO860" s="6"/>
      <c r="BP860" s="6"/>
      <c r="BQ860" s="6"/>
      <c r="BR860" s="6"/>
      <c r="BS860" s="6"/>
      <c r="BT860" s="6"/>
      <c r="BU860" s="6"/>
      <c r="BV860" s="6"/>
      <c r="BW860" s="6"/>
      <c r="BX860" s="11"/>
    </row>
    <row r="861" spans="1:76" ht="15.7">
      <c r="A861" s="6"/>
      <c r="B861" s="7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  <c r="AZ861" s="6"/>
      <c r="BA861" s="6"/>
      <c r="BB861" s="6"/>
      <c r="BC861" s="6"/>
      <c r="BD861" s="6"/>
      <c r="BE861" s="6"/>
      <c r="BF861" s="6"/>
      <c r="BG861" s="6"/>
      <c r="BH861" s="6"/>
      <c r="BI861" s="6"/>
      <c r="BJ861" s="6"/>
      <c r="BK861" s="6"/>
      <c r="BL861" s="6"/>
      <c r="BM861" s="6"/>
      <c r="BN861" s="6"/>
      <c r="BO861" s="6"/>
      <c r="BP861" s="6"/>
      <c r="BQ861" s="6"/>
      <c r="BR861" s="6"/>
      <c r="BS861" s="6"/>
      <c r="BT861" s="6"/>
      <c r="BU861" s="6"/>
      <c r="BV861" s="6"/>
      <c r="BW861" s="6"/>
      <c r="BX861" s="11"/>
    </row>
    <row r="862" spans="1:76" ht="15.7">
      <c r="A862" s="6"/>
      <c r="B862" s="7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  <c r="AZ862" s="6"/>
      <c r="BA862" s="6"/>
      <c r="BB862" s="6"/>
      <c r="BC862" s="6"/>
      <c r="BD862" s="6"/>
      <c r="BE862" s="6"/>
      <c r="BF862" s="6"/>
      <c r="BG862" s="6"/>
      <c r="BH862" s="6"/>
      <c r="BI862" s="6"/>
      <c r="BJ862" s="6"/>
      <c r="BK862" s="6"/>
      <c r="BL862" s="6"/>
      <c r="BM862" s="6"/>
      <c r="BN862" s="6"/>
      <c r="BO862" s="6"/>
      <c r="BP862" s="6"/>
      <c r="BQ862" s="6"/>
      <c r="BR862" s="6"/>
      <c r="BS862" s="6"/>
      <c r="BT862" s="6"/>
      <c r="BU862" s="6"/>
      <c r="BV862" s="6"/>
      <c r="BW862" s="6"/>
      <c r="BX862" s="11"/>
    </row>
    <row r="863" spans="1:76" ht="15.7">
      <c r="A863" s="6"/>
      <c r="B863" s="7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  <c r="AZ863" s="6"/>
      <c r="BA863" s="6"/>
      <c r="BB863" s="6"/>
      <c r="BC863" s="6"/>
      <c r="BD863" s="6"/>
      <c r="BE863" s="6"/>
      <c r="BF863" s="6"/>
      <c r="BG863" s="6"/>
      <c r="BH863" s="6"/>
      <c r="BI863" s="6"/>
      <c r="BJ863" s="6"/>
      <c r="BK863" s="6"/>
      <c r="BL863" s="6"/>
      <c r="BM863" s="6"/>
      <c r="BN863" s="6"/>
      <c r="BO863" s="6"/>
      <c r="BP863" s="6"/>
      <c r="BQ863" s="6"/>
      <c r="BR863" s="6"/>
      <c r="BS863" s="6"/>
      <c r="BT863" s="6"/>
      <c r="BU863" s="6"/>
      <c r="BV863" s="6"/>
      <c r="BW863" s="6"/>
      <c r="BX863" s="11"/>
    </row>
    <row r="864" spans="1:76" ht="15.7">
      <c r="A864" s="6"/>
      <c r="B864" s="7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  <c r="AZ864" s="6"/>
      <c r="BA864" s="6"/>
      <c r="BB864" s="6"/>
      <c r="BC864" s="6"/>
      <c r="BD864" s="6"/>
      <c r="BE864" s="6"/>
      <c r="BF864" s="6"/>
      <c r="BG864" s="6"/>
      <c r="BH864" s="6"/>
      <c r="BI864" s="6"/>
      <c r="BJ864" s="6"/>
      <c r="BK864" s="6"/>
      <c r="BL864" s="6"/>
      <c r="BM864" s="6"/>
      <c r="BN864" s="6"/>
      <c r="BO864" s="6"/>
      <c r="BP864" s="6"/>
      <c r="BQ864" s="6"/>
      <c r="BR864" s="6"/>
      <c r="BS864" s="6"/>
      <c r="BT864" s="6"/>
      <c r="BU864" s="6"/>
      <c r="BV864" s="6"/>
      <c r="BW864" s="6"/>
      <c r="BX864" s="11"/>
    </row>
    <row r="865" spans="1:76" ht="15.7">
      <c r="A865" s="6"/>
      <c r="B865" s="7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  <c r="AZ865" s="6"/>
      <c r="BA865" s="6"/>
      <c r="BB865" s="6"/>
      <c r="BC865" s="6"/>
      <c r="BD865" s="6"/>
      <c r="BE865" s="6"/>
      <c r="BF865" s="6"/>
      <c r="BG865" s="6"/>
      <c r="BH865" s="6"/>
      <c r="BI865" s="6"/>
      <c r="BJ865" s="6"/>
      <c r="BK865" s="6"/>
      <c r="BL865" s="6"/>
      <c r="BM865" s="6"/>
      <c r="BN865" s="6"/>
      <c r="BO865" s="6"/>
      <c r="BP865" s="6"/>
      <c r="BQ865" s="6"/>
      <c r="BR865" s="6"/>
      <c r="BS865" s="6"/>
      <c r="BT865" s="6"/>
      <c r="BU865" s="6"/>
      <c r="BV865" s="6"/>
      <c r="BW865" s="6"/>
      <c r="BX865" s="11"/>
    </row>
    <row r="866" spans="1:76" ht="15.7">
      <c r="A866" s="6"/>
      <c r="B866" s="7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  <c r="AZ866" s="6"/>
      <c r="BA866" s="6"/>
      <c r="BB866" s="6"/>
      <c r="BC866" s="6"/>
      <c r="BD866" s="6"/>
      <c r="BE866" s="6"/>
      <c r="BF866" s="6"/>
      <c r="BG866" s="6"/>
      <c r="BH866" s="6"/>
      <c r="BI866" s="6"/>
      <c r="BJ866" s="6"/>
      <c r="BK866" s="6"/>
      <c r="BL866" s="6"/>
      <c r="BM866" s="6"/>
      <c r="BN866" s="6"/>
      <c r="BO866" s="6"/>
      <c r="BP866" s="6"/>
      <c r="BQ866" s="6"/>
      <c r="BR866" s="6"/>
      <c r="BS866" s="6"/>
      <c r="BT866" s="6"/>
      <c r="BU866" s="6"/>
      <c r="BV866" s="6"/>
      <c r="BW866" s="6"/>
      <c r="BX866" s="11"/>
    </row>
    <row r="867" spans="1:76" ht="15.7">
      <c r="A867" s="6"/>
      <c r="B867" s="7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  <c r="AZ867" s="6"/>
      <c r="BA867" s="6"/>
      <c r="BB867" s="6"/>
      <c r="BC867" s="6"/>
      <c r="BD867" s="6"/>
      <c r="BE867" s="6"/>
      <c r="BF867" s="6"/>
      <c r="BG867" s="6"/>
      <c r="BH867" s="6"/>
      <c r="BI867" s="6"/>
      <c r="BJ867" s="6"/>
      <c r="BK867" s="6"/>
      <c r="BL867" s="6"/>
      <c r="BM867" s="6"/>
      <c r="BN867" s="6"/>
      <c r="BO867" s="6"/>
      <c r="BP867" s="6"/>
      <c r="BQ867" s="6"/>
      <c r="BR867" s="6"/>
      <c r="BS867" s="6"/>
      <c r="BT867" s="6"/>
      <c r="BU867" s="6"/>
      <c r="BV867" s="6"/>
      <c r="BW867" s="6"/>
      <c r="BX867" s="11"/>
    </row>
    <row r="868" spans="1:76" ht="15.7">
      <c r="A868" s="6"/>
      <c r="B868" s="7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  <c r="AZ868" s="6"/>
      <c r="BA868" s="6"/>
      <c r="BB868" s="6"/>
      <c r="BC868" s="6"/>
      <c r="BD868" s="6"/>
      <c r="BE868" s="6"/>
      <c r="BF868" s="6"/>
      <c r="BG868" s="6"/>
      <c r="BH868" s="6"/>
      <c r="BI868" s="6"/>
      <c r="BJ868" s="6"/>
      <c r="BK868" s="6"/>
      <c r="BL868" s="6"/>
      <c r="BM868" s="6"/>
      <c r="BN868" s="6"/>
      <c r="BO868" s="6"/>
      <c r="BP868" s="6"/>
      <c r="BQ868" s="6"/>
      <c r="BR868" s="6"/>
      <c r="BS868" s="6"/>
      <c r="BT868" s="6"/>
      <c r="BU868" s="6"/>
      <c r="BV868" s="6"/>
      <c r="BW868" s="6"/>
      <c r="BX868" s="11"/>
    </row>
    <row r="869" spans="1:76" ht="15.7">
      <c r="A869" s="6"/>
      <c r="B869" s="7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  <c r="AZ869" s="6"/>
      <c r="BA869" s="6"/>
      <c r="BB869" s="6"/>
      <c r="BC869" s="6"/>
      <c r="BD869" s="6"/>
      <c r="BE869" s="6"/>
      <c r="BF869" s="6"/>
      <c r="BG869" s="6"/>
      <c r="BH869" s="6"/>
      <c r="BI869" s="6"/>
      <c r="BJ869" s="6"/>
      <c r="BK869" s="6"/>
      <c r="BL869" s="6"/>
      <c r="BM869" s="6"/>
      <c r="BN869" s="6"/>
      <c r="BO869" s="6"/>
      <c r="BP869" s="6"/>
      <c r="BQ869" s="6"/>
      <c r="BR869" s="6"/>
      <c r="BS869" s="6"/>
      <c r="BT869" s="6"/>
      <c r="BU869" s="6"/>
      <c r="BV869" s="6"/>
      <c r="BW869" s="6"/>
      <c r="BX869" s="11"/>
    </row>
    <row r="870" spans="1:76" ht="15.7">
      <c r="A870" s="6"/>
      <c r="B870" s="7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  <c r="AZ870" s="6"/>
      <c r="BA870" s="6"/>
      <c r="BB870" s="6"/>
      <c r="BC870" s="6"/>
      <c r="BD870" s="6"/>
      <c r="BE870" s="6"/>
      <c r="BF870" s="6"/>
      <c r="BG870" s="6"/>
      <c r="BH870" s="6"/>
      <c r="BI870" s="6"/>
      <c r="BJ870" s="6"/>
      <c r="BK870" s="6"/>
      <c r="BL870" s="6"/>
      <c r="BM870" s="6"/>
      <c r="BN870" s="6"/>
      <c r="BO870" s="6"/>
      <c r="BP870" s="6"/>
      <c r="BQ870" s="6"/>
      <c r="BR870" s="6"/>
      <c r="BS870" s="6"/>
      <c r="BT870" s="6"/>
      <c r="BU870" s="6"/>
      <c r="BV870" s="6"/>
      <c r="BW870" s="6"/>
      <c r="BX870" s="11"/>
    </row>
    <row r="871" spans="1:76" ht="15.7">
      <c r="A871" s="6"/>
      <c r="B871" s="7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  <c r="AZ871" s="6"/>
      <c r="BA871" s="6"/>
      <c r="BB871" s="6"/>
      <c r="BC871" s="6"/>
      <c r="BD871" s="6"/>
      <c r="BE871" s="6"/>
      <c r="BF871" s="6"/>
      <c r="BG871" s="6"/>
      <c r="BH871" s="6"/>
      <c r="BI871" s="6"/>
      <c r="BJ871" s="6"/>
      <c r="BK871" s="6"/>
      <c r="BL871" s="6"/>
      <c r="BM871" s="6"/>
      <c r="BN871" s="6"/>
      <c r="BO871" s="6"/>
      <c r="BP871" s="6"/>
      <c r="BQ871" s="6"/>
      <c r="BR871" s="6"/>
      <c r="BS871" s="6"/>
      <c r="BT871" s="6"/>
      <c r="BU871" s="6"/>
      <c r="BV871" s="6"/>
      <c r="BW871" s="6"/>
      <c r="BX871" s="11"/>
    </row>
    <row r="872" spans="1:76" ht="15.7">
      <c r="A872" s="6"/>
      <c r="B872" s="7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  <c r="AZ872" s="6"/>
      <c r="BA872" s="6"/>
      <c r="BB872" s="6"/>
      <c r="BC872" s="6"/>
      <c r="BD872" s="6"/>
      <c r="BE872" s="6"/>
      <c r="BF872" s="6"/>
      <c r="BG872" s="6"/>
      <c r="BH872" s="6"/>
      <c r="BI872" s="6"/>
      <c r="BJ872" s="6"/>
      <c r="BK872" s="6"/>
      <c r="BL872" s="6"/>
      <c r="BM872" s="6"/>
      <c r="BN872" s="6"/>
      <c r="BO872" s="6"/>
      <c r="BP872" s="6"/>
      <c r="BQ872" s="6"/>
      <c r="BR872" s="6"/>
      <c r="BS872" s="6"/>
      <c r="BT872" s="6"/>
      <c r="BU872" s="6"/>
      <c r="BV872" s="6"/>
      <c r="BW872" s="6"/>
      <c r="BX872" s="11"/>
    </row>
    <row r="873" spans="1:76" ht="15.7">
      <c r="A873" s="6"/>
      <c r="B873" s="7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  <c r="AZ873" s="6"/>
      <c r="BA873" s="6"/>
      <c r="BB873" s="6"/>
      <c r="BC873" s="6"/>
      <c r="BD873" s="6"/>
      <c r="BE873" s="6"/>
      <c r="BF873" s="6"/>
      <c r="BG873" s="6"/>
      <c r="BH873" s="6"/>
      <c r="BI873" s="6"/>
      <c r="BJ873" s="6"/>
      <c r="BK873" s="6"/>
      <c r="BL873" s="6"/>
      <c r="BM873" s="6"/>
      <c r="BN873" s="6"/>
      <c r="BO873" s="6"/>
      <c r="BP873" s="6"/>
      <c r="BQ873" s="6"/>
      <c r="BR873" s="6"/>
      <c r="BS873" s="6"/>
      <c r="BT873" s="6"/>
      <c r="BU873" s="6"/>
      <c r="BV873" s="6"/>
      <c r="BW873" s="6"/>
      <c r="BX873" s="11"/>
    </row>
    <row r="874" spans="1:76" ht="15.7">
      <c r="A874" s="6"/>
      <c r="B874" s="7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  <c r="AZ874" s="6"/>
      <c r="BA874" s="6"/>
      <c r="BB874" s="6"/>
      <c r="BC874" s="6"/>
      <c r="BD874" s="6"/>
      <c r="BE874" s="6"/>
      <c r="BF874" s="6"/>
      <c r="BG874" s="6"/>
      <c r="BH874" s="6"/>
      <c r="BI874" s="6"/>
      <c r="BJ874" s="6"/>
      <c r="BK874" s="6"/>
      <c r="BL874" s="6"/>
      <c r="BM874" s="6"/>
      <c r="BN874" s="6"/>
      <c r="BO874" s="6"/>
      <c r="BP874" s="6"/>
      <c r="BQ874" s="6"/>
      <c r="BR874" s="6"/>
      <c r="BS874" s="6"/>
      <c r="BT874" s="6"/>
      <c r="BU874" s="6"/>
      <c r="BV874" s="6"/>
      <c r="BW874" s="6"/>
      <c r="BX874" s="11"/>
    </row>
    <row r="875" spans="1:76" ht="15.7">
      <c r="A875" s="6"/>
      <c r="B875" s="7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  <c r="AZ875" s="6"/>
      <c r="BA875" s="6"/>
      <c r="BB875" s="6"/>
      <c r="BC875" s="6"/>
      <c r="BD875" s="6"/>
      <c r="BE875" s="6"/>
      <c r="BF875" s="6"/>
      <c r="BG875" s="6"/>
      <c r="BH875" s="6"/>
      <c r="BI875" s="6"/>
      <c r="BJ875" s="6"/>
      <c r="BK875" s="6"/>
      <c r="BL875" s="6"/>
      <c r="BM875" s="6"/>
      <c r="BN875" s="6"/>
      <c r="BO875" s="6"/>
      <c r="BP875" s="6"/>
      <c r="BQ875" s="6"/>
      <c r="BR875" s="6"/>
      <c r="BS875" s="6"/>
      <c r="BT875" s="6"/>
      <c r="BU875" s="6"/>
      <c r="BV875" s="6"/>
      <c r="BW875" s="6"/>
      <c r="BX875" s="11"/>
    </row>
    <row r="876" spans="1:76" ht="15.7">
      <c r="A876" s="6"/>
      <c r="B876" s="7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  <c r="AZ876" s="6"/>
      <c r="BA876" s="6"/>
      <c r="BB876" s="6"/>
      <c r="BC876" s="6"/>
      <c r="BD876" s="6"/>
      <c r="BE876" s="6"/>
      <c r="BF876" s="6"/>
      <c r="BG876" s="6"/>
      <c r="BH876" s="6"/>
      <c r="BI876" s="6"/>
      <c r="BJ876" s="6"/>
      <c r="BK876" s="6"/>
      <c r="BL876" s="6"/>
      <c r="BM876" s="6"/>
      <c r="BN876" s="6"/>
      <c r="BO876" s="6"/>
      <c r="BP876" s="6"/>
      <c r="BQ876" s="6"/>
      <c r="BR876" s="6"/>
      <c r="BS876" s="6"/>
      <c r="BT876" s="6"/>
      <c r="BU876" s="6"/>
      <c r="BV876" s="6"/>
      <c r="BW876" s="6"/>
      <c r="BX876" s="11"/>
    </row>
    <row r="877" spans="1:76" ht="15.7">
      <c r="A877" s="6"/>
      <c r="B877" s="7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  <c r="AZ877" s="6"/>
      <c r="BA877" s="6"/>
      <c r="BB877" s="6"/>
      <c r="BC877" s="6"/>
      <c r="BD877" s="6"/>
      <c r="BE877" s="6"/>
      <c r="BF877" s="6"/>
      <c r="BG877" s="6"/>
      <c r="BH877" s="6"/>
      <c r="BI877" s="6"/>
      <c r="BJ877" s="6"/>
      <c r="BK877" s="6"/>
      <c r="BL877" s="6"/>
      <c r="BM877" s="6"/>
      <c r="BN877" s="6"/>
      <c r="BO877" s="6"/>
      <c r="BP877" s="6"/>
      <c r="BQ877" s="6"/>
      <c r="BR877" s="6"/>
      <c r="BS877" s="6"/>
      <c r="BT877" s="6"/>
      <c r="BU877" s="6"/>
      <c r="BV877" s="6"/>
      <c r="BW877" s="6"/>
      <c r="BX877" s="11"/>
    </row>
    <row r="878" spans="1:76" ht="15.7">
      <c r="A878" s="6"/>
      <c r="B878" s="7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  <c r="AZ878" s="6"/>
      <c r="BA878" s="6"/>
      <c r="BB878" s="6"/>
      <c r="BC878" s="6"/>
      <c r="BD878" s="6"/>
      <c r="BE878" s="6"/>
      <c r="BF878" s="6"/>
      <c r="BG878" s="6"/>
      <c r="BH878" s="6"/>
      <c r="BI878" s="6"/>
      <c r="BJ878" s="6"/>
      <c r="BK878" s="6"/>
      <c r="BL878" s="6"/>
      <c r="BM878" s="6"/>
      <c r="BN878" s="6"/>
      <c r="BO878" s="6"/>
      <c r="BP878" s="6"/>
      <c r="BQ878" s="6"/>
      <c r="BR878" s="6"/>
      <c r="BS878" s="6"/>
      <c r="BT878" s="6"/>
      <c r="BU878" s="6"/>
      <c r="BV878" s="6"/>
      <c r="BW878" s="6"/>
      <c r="BX878" s="11"/>
    </row>
    <row r="879" spans="1:76" ht="15.7">
      <c r="A879" s="6"/>
      <c r="B879" s="7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  <c r="AZ879" s="6"/>
      <c r="BA879" s="6"/>
      <c r="BB879" s="6"/>
      <c r="BC879" s="6"/>
      <c r="BD879" s="6"/>
      <c r="BE879" s="6"/>
      <c r="BF879" s="6"/>
      <c r="BG879" s="6"/>
      <c r="BH879" s="6"/>
      <c r="BI879" s="6"/>
      <c r="BJ879" s="6"/>
      <c r="BK879" s="6"/>
      <c r="BL879" s="6"/>
      <c r="BM879" s="6"/>
      <c r="BN879" s="6"/>
      <c r="BO879" s="6"/>
      <c r="BP879" s="6"/>
      <c r="BQ879" s="6"/>
      <c r="BR879" s="6"/>
      <c r="BS879" s="6"/>
      <c r="BT879" s="6"/>
      <c r="BU879" s="6"/>
      <c r="BV879" s="6"/>
      <c r="BW879" s="6"/>
      <c r="BX879" s="11"/>
    </row>
    <row r="880" spans="1:76" ht="15.7">
      <c r="A880" s="6"/>
      <c r="B880" s="7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  <c r="AZ880" s="6"/>
      <c r="BA880" s="6"/>
      <c r="BB880" s="6"/>
      <c r="BC880" s="6"/>
      <c r="BD880" s="6"/>
      <c r="BE880" s="6"/>
      <c r="BF880" s="6"/>
      <c r="BG880" s="6"/>
      <c r="BH880" s="6"/>
      <c r="BI880" s="6"/>
      <c r="BJ880" s="6"/>
      <c r="BK880" s="6"/>
      <c r="BL880" s="6"/>
      <c r="BM880" s="6"/>
      <c r="BN880" s="6"/>
      <c r="BO880" s="6"/>
      <c r="BP880" s="6"/>
      <c r="BQ880" s="6"/>
      <c r="BR880" s="6"/>
      <c r="BS880" s="6"/>
      <c r="BT880" s="6"/>
      <c r="BU880" s="6"/>
      <c r="BV880" s="6"/>
      <c r="BW880" s="6"/>
      <c r="BX880" s="11"/>
    </row>
    <row r="881" spans="1:76" ht="15.7">
      <c r="A881" s="6"/>
      <c r="B881" s="7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  <c r="AZ881" s="6"/>
      <c r="BA881" s="6"/>
      <c r="BB881" s="6"/>
      <c r="BC881" s="6"/>
      <c r="BD881" s="6"/>
      <c r="BE881" s="6"/>
      <c r="BF881" s="6"/>
      <c r="BG881" s="6"/>
      <c r="BH881" s="6"/>
      <c r="BI881" s="6"/>
      <c r="BJ881" s="6"/>
      <c r="BK881" s="6"/>
      <c r="BL881" s="6"/>
      <c r="BM881" s="6"/>
      <c r="BN881" s="6"/>
      <c r="BO881" s="6"/>
      <c r="BP881" s="6"/>
      <c r="BQ881" s="6"/>
      <c r="BR881" s="6"/>
      <c r="BS881" s="6"/>
      <c r="BT881" s="6"/>
      <c r="BU881" s="6"/>
      <c r="BV881" s="6"/>
      <c r="BW881" s="6"/>
      <c r="BX881" s="11"/>
    </row>
    <row r="882" spans="1:76" ht="15.7">
      <c r="A882" s="6"/>
      <c r="B882" s="7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  <c r="AZ882" s="6"/>
      <c r="BA882" s="6"/>
      <c r="BB882" s="6"/>
      <c r="BC882" s="6"/>
      <c r="BD882" s="6"/>
      <c r="BE882" s="6"/>
      <c r="BF882" s="6"/>
      <c r="BG882" s="6"/>
      <c r="BH882" s="6"/>
      <c r="BI882" s="6"/>
      <c r="BJ882" s="6"/>
      <c r="BK882" s="6"/>
      <c r="BL882" s="6"/>
      <c r="BM882" s="6"/>
      <c r="BN882" s="6"/>
      <c r="BO882" s="6"/>
      <c r="BP882" s="6"/>
      <c r="BQ882" s="6"/>
      <c r="BR882" s="6"/>
      <c r="BS882" s="6"/>
      <c r="BT882" s="6"/>
      <c r="BU882" s="6"/>
      <c r="BV882" s="6"/>
      <c r="BW882" s="6"/>
      <c r="BX882" s="11"/>
    </row>
    <row r="883" spans="1:76" ht="15.7">
      <c r="A883" s="6"/>
      <c r="B883" s="7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  <c r="AZ883" s="6"/>
      <c r="BA883" s="6"/>
      <c r="BB883" s="6"/>
      <c r="BC883" s="6"/>
      <c r="BD883" s="6"/>
      <c r="BE883" s="6"/>
      <c r="BF883" s="6"/>
      <c r="BG883" s="6"/>
      <c r="BH883" s="6"/>
      <c r="BI883" s="6"/>
      <c r="BJ883" s="6"/>
      <c r="BK883" s="6"/>
      <c r="BL883" s="6"/>
      <c r="BM883" s="6"/>
      <c r="BN883" s="6"/>
      <c r="BO883" s="6"/>
      <c r="BP883" s="6"/>
      <c r="BQ883" s="6"/>
      <c r="BR883" s="6"/>
      <c r="BS883" s="6"/>
      <c r="BT883" s="6"/>
      <c r="BU883" s="6"/>
      <c r="BV883" s="6"/>
      <c r="BW883" s="6"/>
      <c r="BX883" s="11"/>
    </row>
    <row r="884" spans="1:76" ht="15.7">
      <c r="A884" s="6"/>
      <c r="B884" s="7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  <c r="AZ884" s="6"/>
      <c r="BA884" s="6"/>
      <c r="BB884" s="6"/>
      <c r="BC884" s="6"/>
      <c r="BD884" s="6"/>
      <c r="BE884" s="6"/>
      <c r="BF884" s="6"/>
      <c r="BG884" s="6"/>
      <c r="BH884" s="6"/>
      <c r="BI884" s="6"/>
      <c r="BJ884" s="6"/>
      <c r="BK884" s="6"/>
      <c r="BL884" s="6"/>
      <c r="BM884" s="6"/>
      <c r="BN884" s="6"/>
      <c r="BO884" s="6"/>
      <c r="BP884" s="6"/>
      <c r="BQ884" s="6"/>
      <c r="BR884" s="6"/>
      <c r="BS884" s="6"/>
      <c r="BT884" s="6"/>
      <c r="BU884" s="6"/>
      <c r="BV884" s="6"/>
      <c r="BW884" s="6"/>
      <c r="BX884" s="11"/>
    </row>
    <row r="885" spans="1:76" ht="15.7">
      <c r="A885" s="6"/>
      <c r="B885" s="7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  <c r="AZ885" s="6"/>
      <c r="BA885" s="6"/>
      <c r="BB885" s="6"/>
      <c r="BC885" s="6"/>
      <c r="BD885" s="6"/>
      <c r="BE885" s="6"/>
      <c r="BF885" s="6"/>
      <c r="BG885" s="6"/>
      <c r="BH885" s="6"/>
      <c r="BI885" s="6"/>
      <c r="BJ885" s="6"/>
      <c r="BK885" s="6"/>
      <c r="BL885" s="6"/>
      <c r="BM885" s="6"/>
      <c r="BN885" s="6"/>
      <c r="BO885" s="6"/>
      <c r="BP885" s="6"/>
      <c r="BQ885" s="6"/>
      <c r="BR885" s="6"/>
      <c r="BS885" s="6"/>
      <c r="BT885" s="6"/>
      <c r="BU885" s="6"/>
      <c r="BV885" s="6"/>
      <c r="BW885" s="6"/>
      <c r="BX885" s="11"/>
    </row>
    <row r="886" spans="1:76" ht="15.7">
      <c r="A886" s="6"/>
      <c r="B886" s="7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  <c r="AZ886" s="6"/>
      <c r="BA886" s="6"/>
      <c r="BB886" s="6"/>
      <c r="BC886" s="6"/>
      <c r="BD886" s="6"/>
      <c r="BE886" s="6"/>
      <c r="BF886" s="6"/>
      <c r="BG886" s="6"/>
      <c r="BH886" s="6"/>
      <c r="BI886" s="6"/>
      <c r="BJ886" s="6"/>
      <c r="BK886" s="6"/>
      <c r="BL886" s="6"/>
      <c r="BM886" s="6"/>
      <c r="BN886" s="6"/>
      <c r="BO886" s="6"/>
      <c r="BP886" s="6"/>
      <c r="BQ886" s="6"/>
      <c r="BR886" s="6"/>
      <c r="BS886" s="6"/>
      <c r="BT886" s="6"/>
      <c r="BU886" s="6"/>
      <c r="BV886" s="6"/>
      <c r="BW886" s="6"/>
      <c r="BX886" s="11"/>
    </row>
    <row r="887" spans="1:76" ht="15.7">
      <c r="A887" s="6"/>
      <c r="B887" s="7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  <c r="AZ887" s="6"/>
      <c r="BA887" s="6"/>
      <c r="BB887" s="6"/>
      <c r="BC887" s="6"/>
      <c r="BD887" s="6"/>
      <c r="BE887" s="6"/>
      <c r="BF887" s="6"/>
      <c r="BG887" s="6"/>
      <c r="BH887" s="6"/>
      <c r="BI887" s="6"/>
      <c r="BJ887" s="6"/>
      <c r="BK887" s="6"/>
      <c r="BL887" s="6"/>
      <c r="BM887" s="6"/>
      <c r="BN887" s="6"/>
      <c r="BO887" s="6"/>
      <c r="BP887" s="6"/>
      <c r="BQ887" s="6"/>
      <c r="BR887" s="6"/>
      <c r="BS887" s="6"/>
      <c r="BT887" s="6"/>
      <c r="BU887" s="6"/>
      <c r="BV887" s="6"/>
      <c r="BW887" s="6"/>
      <c r="BX887" s="11"/>
    </row>
    <row r="888" spans="1:76" ht="15.7">
      <c r="A888" s="6"/>
      <c r="B888" s="7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  <c r="AZ888" s="6"/>
      <c r="BA888" s="6"/>
      <c r="BB888" s="6"/>
      <c r="BC888" s="6"/>
      <c r="BD888" s="6"/>
      <c r="BE888" s="6"/>
      <c r="BF888" s="6"/>
      <c r="BG888" s="6"/>
      <c r="BH888" s="6"/>
      <c r="BI888" s="6"/>
      <c r="BJ888" s="6"/>
      <c r="BK888" s="6"/>
      <c r="BL888" s="6"/>
      <c r="BM888" s="6"/>
      <c r="BN888" s="6"/>
      <c r="BO888" s="6"/>
      <c r="BP888" s="6"/>
      <c r="BQ888" s="6"/>
      <c r="BR888" s="6"/>
      <c r="BS888" s="6"/>
      <c r="BT888" s="6"/>
      <c r="BU888" s="6"/>
      <c r="BV888" s="6"/>
      <c r="BW888" s="6"/>
      <c r="BX888" s="11"/>
    </row>
    <row r="889" spans="1:76" ht="15.7">
      <c r="A889" s="6"/>
      <c r="B889" s="7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  <c r="AZ889" s="6"/>
      <c r="BA889" s="6"/>
      <c r="BB889" s="6"/>
      <c r="BC889" s="6"/>
      <c r="BD889" s="6"/>
      <c r="BE889" s="6"/>
      <c r="BF889" s="6"/>
      <c r="BG889" s="6"/>
      <c r="BH889" s="6"/>
      <c r="BI889" s="6"/>
      <c r="BJ889" s="6"/>
      <c r="BK889" s="6"/>
      <c r="BL889" s="6"/>
      <c r="BM889" s="6"/>
      <c r="BN889" s="6"/>
      <c r="BO889" s="6"/>
      <c r="BP889" s="6"/>
      <c r="BQ889" s="6"/>
      <c r="BR889" s="6"/>
      <c r="BS889" s="6"/>
      <c r="BT889" s="6"/>
      <c r="BU889" s="6"/>
      <c r="BV889" s="6"/>
      <c r="BW889" s="6"/>
      <c r="BX889" s="11"/>
    </row>
    <row r="890" spans="1:76" ht="15.7">
      <c r="A890" s="6"/>
      <c r="B890" s="7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  <c r="AZ890" s="6"/>
      <c r="BA890" s="6"/>
      <c r="BB890" s="6"/>
      <c r="BC890" s="6"/>
      <c r="BD890" s="6"/>
      <c r="BE890" s="6"/>
      <c r="BF890" s="6"/>
      <c r="BG890" s="6"/>
      <c r="BH890" s="6"/>
      <c r="BI890" s="6"/>
      <c r="BJ890" s="6"/>
      <c r="BK890" s="6"/>
      <c r="BL890" s="6"/>
      <c r="BM890" s="6"/>
      <c r="BN890" s="6"/>
      <c r="BO890" s="6"/>
      <c r="BP890" s="6"/>
      <c r="BQ890" s="6"/>
      <c r="BR890" s="6"/>
      <c r="BS890" s="6"/>
      <c r="BT890" s="6"/>
      <c r="BU890" s="6"/>
      <c r="BV890" s="6"/>
      <c r="BW890" s="6"/>
      <c r="BX890" s="11"/>
    </row>
    <row r="891" spans="1:76" ht="15.7">
      <c r="A891" s="6"/>
      <c r="B891" s="7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  <c r="AZ891" s="6"/>
      <c r="BA891" s="6"/>
      <c r="BB891" s="6"/>
      <c r="BC891" s="6"/>
      <c r="BD891" s="6"/>
      <c r="BE891" s="6"/>
      <c r="BF891" s="6"/>
      <c r="BG891" s="6"/>
      <c r="BH891" s="6"/>
      <c r="BI891" s="6"/>
      <c r="BJ891" s="6"/>
      <c r="BK891" s="6"/>
      <c r="BL891" s="6"/>
      <c r="BM891" s="6"/>
      <c r="BN891" s="6"/>
      <c r="BO891" s="6"/>
      <c r="BP891" s="6"/>
      <c r="BQ891" s="6"/>
      <c r="BR891" s="6"/>
      <c r="BS891" s="6"/>
      <c r="BT891" s="6"/>
      <c r="BU891" s="6"/>
      <c r="BV891" s="6"/>
      <c r="BW891" s="6"/>
      <c r="BX891" s="11"/>
    </row>
    <row r="892" spans="1:76" ht="15.7">
      <c r="A892" s="6"/>
      <c r="B892" s="7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  <c r="AZ892" s="6"/>
      <c r="BA892" s="6"/>
      <c r="BB892" s="6"/>
      <c r="BC892" s="6"/>
      <c r="BD892" s="6"/>
      <c r="BE892" s="6"/>
      <c r="BF892" s="6"/>
      <c r="BG892" s="6"/>
      <c r="BH892" s="6"/>
      <c r="BI892" s="6"/>
      <c r="BJ892" s="6"/>
      <c r="BK892" s="6"/>
      <c r="BL892" s="6"/>
      <c r="BM892" s="6"/>
      <c r="BN892" s="6"/>
      <c r="BO892" s="6"/>
      <c r="BP892" s="6"/>
      <c r="BQ892" s="6"/>
      <c r="BR892" s="6"/>
      <c r="BS892" s="6"/>
      <c r="BT892" s="6"/>
      <c r="BU892" s="6"/>
      <c r="BV892" s="6"/>
      <c r="BW892" s="6"/>
      <c r="BX892" s="11"/>
    </row>
    <row r="893" spans="1:76" ht="15.7">
      <c r="A893" s="6"/>
      <c r="B893" s="7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  <c r="AZ893" s="6"/>
      <c r="BA893" s="6"/>
      <c r="BB893" s="6"/>
      <c r="BC893" s="6"/>
      <c r="BD893" s="6"/>
      <c r="BE893" s="6"/>
      <c r="BF893" s="6"/>
      <c r="BG893" s="6"/>
      <c r="BH893" s="6"/>
      <c r="BI893" s="6"/>
      <c r="BJ893" s="6"/>
      <c r="BK893" s="6"/>
      <c r="BL893" s="6"/>
      <c r="BM893" s="6"/>
      <c r="BN893" s="6"/>
      <c r="BO893" s="6"/>
      <c r="BP893" s="6"/>
      <c r="BQ893" s="6"/>
      <c r="BR893" s="6"/>
      <c r="BS893" s="6"/>
      <c r="BT893" s="6"/>
      <c r="BU893" s="6"/>
      <c r="BV893" s="6"/>
      <c r="BW893" s="6"/>
      <c r="BX893" s="11"/>
    </row>
    <row r="894" spans="1:76" ht="15.7">
      <c r="A894" s="6"/>
      <c r="B894" s="7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  <c r="AZ894" s="6"/>
      <c r="BA894" s="6"/>
      <c r="BB894" s="6"/>
      <c r="BC894" s="6"/>
      <c r="BD894" s="6"/>
      <c r="BE894" s="6"/>
      <c r="BF894" s="6"/>
      <c r="BG894" s="6"/>
      <c r="BH894" s="6"/>
      <c r="BI894" s="6"/>
      <c r="BJ894" s="6"/>
      <c r="BK894" s="6"/>
      <c r="BL894" s="6"/>
      <c r="BM894" s="6"/>
      <c r="BN894" s="6"/>
      <c r="BO894" s="6"/>
      <c r="BP894" s="6"/>
      <c r="BQ894" s="6"/>
      <c r="BR894" s="6"/>
      <c r="BS894" s="6"/>
      <c r="BT894" s="6"/>
      <c r="BU894" s="6"/>
      <c r="BV894" s="6"/>
      <c r="BW894" s="6"/>
      <c r="BX894" s="11"/>
    </row>
    <row r="895" spans="1:76" ht="15.7">
      <c r="A895" s="6"/>
      <c r="B895" s="7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  <c r="AZ895" s="6"/>
      <c r="BA895" s="6"/>
      <c r="BB895" s="6"/>
      <c r="BC895" s="6"/>
      <c r="BD895" s="6"/>
      <c r="BE895" s="6"/>
      <c r="BF895" s="6"/>
      <c r="BG895" s="6"/>
      <c r="BH895" s="6"/>
      <c r="BI895" s="6"/>
      <c r="BJ895" s="6"/>
      <c r="BK895" s="6"/>
      <c r="BL895" s="6"/>
      <c r="BM895" s="6"/>
      <c r="BN895" s="6"/>
      <c r="BO895" s="6"/>
      <c r="BP895" s="6"/>
      <c r="BQ895" s="6"/>
      <c r="BR895" s="6"/>
      <c r="BS895" s="6"/>
      <c r="BT895" s="6"/>
      <c r="BU895" s="6"/>
      <c r="BV895" s="6"/>
      <c r="BW895" s="6"/>
      <c r="BX895" s="11"/>
    </row>
    <row r="896" spans="1:76" ht="15.7">
      <c r="A896" s="6"/>
      <c r="B896" s="7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  <c r="AZ896" s="6"/>
      <c r="BA896" s="6"/>
      <c r="BB896" s="6"/>
      <c r="BC896" s="6"/>
      <c r="BD896" s="6"/>
      <c r="BE896" s="6"/>
      <c r="BF896" s="6"/>
      <c r="BG896" s="6"/>
      <c r="BH896" s="6"/>
      <c r="BI896" s="6"/>
      <c r="BJ896" s="6"/>
      <c r="BK896" s="6"/>
      <c r="BL896" s="6"/>
      <c r="BM896" s="6"/>
      <c r="BN896" s="6"/>
      <c r="BO896" s="6"/>
      <c r="BP896" s="6"/>
      <c r="BQ896" s="6"/>
      <c r="BR896" s="6"/>
      <c r="BS896" s="6"/>
      <c r="BT896" s="6"/>
      <c r="BU896" s="6"/>
      <c r="BV896" s="6"/>
      <c r="BW896" s="6"/>
      <c r="BX896" s="11"/>
    </row>
    <row r="897" spans="1:76" ht="15.7">
      <c r="A897" s="6"/>
      <c r="B897" s="7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  <c r="AZ897" s="6"/>
      <c r="BA897" s="6"/>
      <c r="BB897" s="6"/>
      <c r="BC897" s="6"/>
      <c r="BD897" s="6"/>
      <c r="BE897" s="6"/>
      <c r="BF897" s="6"/>
      <c r="BG897" s="6"/>
      <c r="BH897" s="6"/>
      <c r="BI897" s="6"/>
      <c r="BJ897" s="6"/>
      <c r="BK897" s="6"/>
      <c r="BL897" s="6"/>
      <c r="BM897" s="6"/>
      <c r="BN897" s="6"/>
      <c r="BO897" s="6"/>
      <c r="BP897" s="6"/>
      <c r="BQ897" s="6"/>
      <c r="BR897" s="6"/>
      <c r="BS897" s="6"/>
      <c r="BT897" s="6"/>
      <c r="BU897" s="6"/>
      <c r="BV897" s="6"/>
      <c r="BW897" s="6"/>
      <c r="BX897" s="11"/>
    </row>
    <row r="898" spans="1:76" ht="15.7">
      <c r="A898" s="6"/>
      <c r="B898" s="7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  <c r="AZ898" s="6"/>
      <c r="BA898" s="6"/>
      <c r="BB898" s="6"/>
      <c r="BC898" s="6"/>
      <c r="BD898" s="6"/>
      <c r="BE898" s="6"/>
      <c r="BF898" s="6"/>
      <c r="BG898" s="6"/>
      <c r="BH898" s="6"/>
      <c r="BI898" s="6"/>
      <c r="BJ898" s="6"/>
      <c r="BK898" s="6"/>
      <c r="BL898" s="6"/>
      <c r="BM898" s="6"/>
      <c r="BN898" s="6"/>
      <c r="BO898" s="6"/>
      <c r="BP898" s="6"/>
      <c r="BQ898" s="6"/>
      <c r="BR898" s="6"/>
      <c r="BS898" s="6"/>
      <c r="BT898" s="6"/>
      <c r="BU898" s="6"/>
      <c r="BV898" s="6"/>
      <c r="BW898" s="6"/>
      <c r="BX898" s="11"/>
    </row>
    <row r="899" spans="1:76" ht="15.7">
      <c r="A899" s="6"/>
      <c r="B899" s="7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  <c r="AZ899" s="6"/>
      <c r="BA899" s="6"/>
      <c r="BB899" s="6"/>
      <c r="BC899" s="6"/>
      <c r="BD899" s="6"/>
      <c r="BE899" s="6"/>
      <c r="BF899" s="6"/>
      <c r="BG899" s="6"/>
      <c r="BH899" s="6"/>
      <c r="BI899" s="6"/>
      <c r="BJ899" s="6"/>
      <c r="BK899" s="6"/>
      <c r="BL899" s="6"/>
      <c r="BM899" s="6"/>
      <c r="BN899" s="6"/>
      <c r="BO899" s="6"/>
      <c r="BP899" s="6"/>
      <c r="BQ899" s="6"/>
      <c r="BR899" s="6"/>
      <c r="BS899" s="6"/>
      <c r="BT899" s="6"/>
      <c r="BU899" s="6"/>
      <c r="BV899" s="6"/>
      <c r="BW899" s="6"/>
      <c r="BX899" s="11"/>
    </row>
    <row r="900" spans="1:76" ht="15.7">
      <c r="A900" s="6"/>
      <c r="B900" s="7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  <c r="AZ900" s="6"/>
      <c r="BA900" s="6"/>
      <c r="BB900" s="6"/>
      <c r="BC900" s="6"/>
      <c r="BD900" s="6"/>
      <c r="BE900" s="6"/>
      <c r="BF900" s="6"/>
      <c r="BG900" s="6"/>
      <c r="BH900" s="6"/>
      <c r="BI900" s="6"/>
      <c r="BJ900" s="6"/>
      <c r="BK900" s="6"/>
      <c r="BL900" s="6"/>
      <c r="BM900" s="6"/>
      <c r="BN900" s="6"/>
      <c r="BO900" s="6"/>
      <c r="BP900" s="6"/>
      <c r="BQ900" s="6"/>
      <c r="BR900" s="6"/>
      <c r="BS900" s="6"/>
      <c r="BT900" s="6"/>
      <c r="BU900" s="6"/>
      <c r="BV900" s="6"/>
      <c r="BW900" s="6"/>
      <c r="BX900" s="11"/>
    </row>
    <row r="901" spans="1:76" ht="15.7">
      <c r="A901" s="6"/>
      <c r="B901" s="7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  <c r="AZ901" s="6"/>
      <c r="BA901" s="6"/>
      <c r="BB901" s="6"/>
      <c r="BC901" s="6"/>
      <c r="BD901" s="6"/>
      <c r="BE901" s="6"/>
      <c r="BF901" s="6"/>
      <c r="BG901" s="6"/>
      <c r="BH901" s="6"/>
      <c r="BI901" s="6"/>
      <c r="BJ901" s="6"/>
      <c r="BK901" s="6"/>
      <c r="BL901" s="6"/>
      <c r="BM901" s="6"/>
      <c r="BN901" s="6"/>
      <c r="BO901" s="6"/>
      <c r="BP901" s="6"/>
      <c r="BQ901" s="6"/>
      <c r="BR901" s="6"/>
      <c r="BS901" s="6"/>
      <c r="BT901" s="6"/>
      <c r="BU901" s="6"/>
      <c r="BV901" s="6"/>
      <c r="BW901" s="6"/>
      <c r="BX901" s="11"/>
    </row>
    <row r="902" spans="1:76" ht="15.7">
      <c r="A902" s="6"/>
      <c r="B902" s="7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  <c r="AZ902" s="6"/>
      <c r="BA902" s="6"/>
      <c r="BB902" s="6"/>
      <c r="BC902" s="6"/>
      <c r="BD902" s="6"/>
      <c r="BE902" s="6"/>
      <c r="BF902" s="6"/>
      <c r="BG902" s="6"/>
      <c r="BH902" s="6"/>
      <c r="BI902" s="6"/>
      <c r="BJ902" s="6"/>
      <c r="BK902" s="6"/>
      <c r="BL902" s="6"/>
      <c r="BM902" s="6"/>
      <c r="BN902" s="6"/>
      <c r="BO902" s="6"/>
      <c r="BP902" s="6"/>
      <c r="BQ902" s="6"/>
      <c r="BR902" s="6"/>
      <c r="BS902" s="6"/>
      <c r="BT902" s="6"/>
      <c r="BU902" s="6"/>
      <c r="BV902" s="6"/>
      <c r="BW902" s="6"/>
      <c r="BX902" s="11"/>
    </row>
    <row r="903" spans="1:76" ht="15.7">
      <c r="A903" s="6"/>
      <c r="B903" s="7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  <c r="AZ903" s="6"/>
      <c r="BA903" s="6"/>
      <c r="BB903" s="6"/>
      <c r="BC903" s="6"/>
      <c r="BD903" s="6"/>
      <c r="BE903" s="6"/>
      <c r="BF903" s="6"/>
      <c r="BG903" s="6"/>
      <c r="BH903" s="6"/>
      <c r="BI903" s="6"/>
      <c r="BJ903" s="6"/>
      <c r="BK903" s="6"/>
      <c r="BL903" s="6"/>
      <c r="BM903" s="6"/>
      <c r="BN903" s="6"/>
      <c r="BO903" s="6"/>
      <c r="BP903" s="6"/>
      <c r="BQ903" s="6"/>
      <c r="BR903" s="6"/>
      <c r="BS903" s="6"/>
      <c r="BT903" s="6"/>
      <c r="BU903" s="6"/>
      <c r="BV903" s="6"/>
      <c r="BW903" s="6"/>
      <c r="BX903" s="11"/>
    </row>
    <row r="904" spans="1:76" ht="15.7">
      <c r="A904" s="6"/>
      <c r="B904" s="7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  <c r="AZ904" s="6"/>
      <c r="BA904" s="6"/>
      <c r="BB904" s="6"/>
      <c r="BC904" s="6"/>
      <c r="BD904" s="6"/>
      <c r="BE904" s="6"/>
      <c r="BF904" s="6"/>
      <c r="BG904" s="6"/>
      <c r="BH904" s="6"/>
      <c r="BI904" s="6"/>
      <c r="BJ904" s="6"/>
      <c r="BK904" s="6"/>
      <c r="BL904" s="6"/>
      <c r="BM904" s="6"/>
      <c r="BN904" s="6"/>
      <c r="BO904" s="6"/>
      <c r="BP904" s="6"/>
      <c r="BQ904" s="6"/>
      <c r="BR904" s="6"/>
      <c r="BS904" s="6"/>
      <c r="BT904" s="6"/>
      <c r="BU904" s="6"/>
      <c r="BV904" s="6"/>
      <c r="BW904" s="6"/>
      <c r="BX904" s="11"/>
    </row>
    <row r="905" spans="1:76" ht="15.7">
      <c r="A905" s="6"/>
      <c r="B905" s="7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  <c r="AZ905" s="6"/>
      <c r="BA905" s="6"/>
      <c r="BB905" s="6"/>
      <c r="BC905" s="6"/>
      <c r="BD905" s="6"/>
      <c r="BE905" s="6"/>
      <c r="BF905" s="6"/>
      <c r="BG905" s="6"/>
      <c r="BH905" s="6"/>
      <c r="BI905" s="6"/>
      <c r="BJ905" s="6"/>
      <c r="BK905" s="6"/>
      <c r="BL905" s="6"/>
      <c r="BM905" s="6"/>
      <c r="BN905" s="6"/>
      <c r="BO905" s="6"/>
      <c r="BP905" s="6"/>
      <c r="BQ905" s="6"/>
      <c r="BR905" s="6"/>
      <c r="BS905" s="6"/>
      <c r="BT905" s="6"/>
      <c r="BU905" s="6"/>
      <c r="BV905" s="6"/>
      <c r="BW905" s="6"/>
      <c r="BX905" s="11"/>
    </row>
    <row r="906" spans="1:76" ht="15.7">
      <c r="A906" s="6"/>
      <c r="B906" s="7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  <c r="AZ906" s="6"/>
      <c r="BA906" s="6"/>
      <c r="BB906" s="6"/>
      <c r="BC906" s="6"/>
      <c r="BD906" s="6"/>
      <c r="BE906" s="6"/>
      <c r="BF906" s="6"/>
      <c r="BG906" s="6"/>
      <c r="BH906" s="6"/>
      <c r="BI906" s="6"/>
      <c r="BJ906" s="6"/>
      <c r="BK906" s="6"/>
      <c r="BL906" s="6"/>
      <c r="BM906" s="6"/>
      <c r="BN906" s="6"/>
      <c r="BO906" s="6"/>
      <c r="BP906" s="6"/>
      <c r="BQ906" s="6"/>
      <c r="BR906" s="6"/>
      <c r="BS906" s="6"/>
      <c r="BT906" s="6"/>
      <c r="BU906" s="6"/>
      <c r="BV906" s="6"/>
      <c r="BW906" s="6"/>
      <c r="BX906" s="11"/>
    </row>
    <row r="907" spans="1:76" ht="15.7">
      <c r="A907" s="6"/>
      <c r="B907" s="7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  <c r="AZ907" s="6"/>
      <c r="BA907" s="6"/>
      <c r="BB907" s="6"/>
      <c r="BC907" s="6"/>
      <c r="BD907" s="6"/>
      <c r="BE907" s="6"/>
      <c r="BF907" s="6"/>
      <c r="BG907" s="6"/>
      <c r="BH907" s="6"/>
      <c r="BI907" s="6"/>
      <c r="BJ907" s="6"/>
      <c r="BK907" s="6"/>
      <c r="BL907" s="6"/>
      <c r="BM907" s="6"/>
      <c r="BN907" s="6"/>
      <c r="BO907" s="6"/>
      <c r="BP907" s="6"/>
      <c r="BQ907" s="6"/>
      <c r="BR907" s="6"/>
      <c r="BS907" s="6"/>
      <c r="BT907" s="6"/>
      <c r="BU907" s="6"/>
      <c r="BV907" s="6"/>
      <c r="BW907" s="6"/>
      <c r="BX907" s="11"/>
    </row>
    <row r="908" spans="1:76" ht="15.7">
      <c r="A908" s="6"/>
      <c r="B908" s="7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  <c r="AZ908" s="6"/>
      <c r="BA908" s="6"/>
      <c r="BB908" s="6"/>
      <c r="BC908" s="6"/>
      <c r="BD908" s="6"/>
      <c r="BE908" s="6"/>
      <c r="BF908" s="6"/>
      <c r="BG908" s="6"/>
      <c r="BH908" s="6"/>
      <c r="BI908" s="6"/>
      <c r="BJ908" s="6"/>
      <c r="BK908" s="6"/>
      <c r="BL908" s="6"/>
      <c r="BM908" s="6"/>
      <c r="BN908" s="6"/>
      <c r="BO908" s="6"/>
      <c r="BP908" s="6"/>
      <c r="BQ908" s="6"/>
      <c r="BR908" s="6"/>
      <c r="BS908" s="6"/>
      <c r="BT908" s="6"/>
      <c r="BU908" s="6"/>
      <c r="BV908" s="6"/>
      <c r="BW908" s="6"/>
      <c r="BX908" s="11"/>
    </row>
    <row r="909" spans="1:76" ht="15.7">
      <c r="A909" s="6"/>
      <c r="B909" s="7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  <c r="AZ909" s="6"/>
      <c r="BA909" s="6"/>
      <c r="BB909" s="6"/>
      <c r="BC909" s="6"/>
      <c r="BD909" s="6"/>
      <c r="BE909" s="6"/>
      <c r="BF909" s="6"/>
      <c r="BG909" s="6"/>
      <c r="BH909" s="6"/>
      <c r="BI909" s="6"/>
      <c r="BJ909" s="6"/>
      <c r="BK909" s="6"/>
      <c r="BL909" s="6"/>
      <c r="BM909" s="6"/>
      <c r="BN909" s="6"/>
      <c r="BO909" s="6"/>
      <c r="BP909" s="6"/>
      <c r="BQ909" s="6"/>
      <c r="BR909" s="6"/>
      <c r="BS909" s="6"/>
      <c r="BT909" s="6"/>
      <c r="BU909" s="6"/>
      <c r="BV909" s="6"/>
      <c r="BW909" s="6"/>
      <c r="BX909" s="11"/>
    </row>
    <row r="910" spans="1:76" ht="15.7">
      <c r="A910" s="6"/>
      <c r="B910" s="7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  <c r="AZ910" s="6"/>
      <c r="BA910" s="6"/>
      <c r="BB910" s="6"/>
      <c r="BC910" s="6"/>
      <c r="BD910" s="6"/>
      <c r="BE910" s="6"/>
      <c r="BF910" s="6"/>
      <c r="BG910" s="6"/>
      <c r="BH910" s="6"/>
      <c r="BI910" s="6"/>
      <c r="BJ910" s="6"/>
      <c r="BK910" s="6"/>
      <c r="BL910" s="6"/>
      <c r="BM910" s="6"/>
      <c r="BN910" s="6"/>
      <c r="BO910" s="6"/>
      <c r="BP910" s="6"/>
      <c r="BQ910" s="6"/>
      <c r="BR910" s="6"/>
      <c r="BS910" s="6"/>
      <c r="BT910" s="6"/>
      <c r="BU910" s="6"/>
      <c r="BV910" s="6"/>
      <c r="BW910" s="6"/>
      <c r="BX910" s="11"/>
    </row>
    <row r="911" spans="1:76" ht="15.7">
      <c r="A911" s="6"/>
      <c r="B911" s="7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  <c r="AZ911" s="6"/>
      <c r="BA911" s="6"/>
      <c r="BB911" s="6"/>
      <c r="BC911" s="6"/>
      <c r="BD911" s="6"/>
      <c r="BE911" s="6"/>
      <c r="BF911" s="6"/>
      <c r="BG911" s="6"/>
      <c r="BH911" s="6"/>
      <c r="BI911" s="6"/>
      <c r="BJ911" s="6"/>
      <c r="BK911" s="6"/>
      <c r="BL911" s="6"/>
      <c r="BM911" s="6"/>
      <c r="BN911" s="6"/>
      <c r="BO911" s="6"/>
      <c r="BP911" s="6"/>
      <c r="BQ911" s="6"/>
      <c r="BR911" s="6"/>
      <c r="BS911" s="6"/>
      <c r="BT911" s="6"/>
      <c r="BU911" s="6"/>
      <c r="BV911" s="6"/>
      <c r="BW911" s="6"/>
      <c r="BX911" s="11"/>
    </row>
    <row r="912" spans="1:76" ht="15.7">
      <c r="A912" s="6"/>
      <c r="B912" s="7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  <c r="AZ912" s="6"/>
      <c r="BA912" s="6"/>
      <c r="BB912" s="6"/>
      <c r="BC912" s="6"/>
      <c r="BD912" s="6"/>
      <c r="BE912" s="6"/>
      <c r="BF912" s="6"/>
      <c r="BG912" s="6"/>
      <c r="BH912" s="6"/>
      <c r="BI912" s="6"/>
      <c r="BJ912" s="6"/>
      <c r="BK912" s="6"/>
      <c r="BL912" s="6"/>
      <c r="BM912" s="6"/>
      <c r="BN912" s="6"/>
      <c r="BO912" s="6"/>
      <c r="BP912" s="6"/>
      <c r="BQ912" s="6"/>
      <c r="BR912" s="6"/>
      <c r="BS912" s="6"/>
      <c r="BT912" s="6"/>
      <c r="BU912" s="6"/>
      <c r="BV912" s="6"/>
      <c r="BW912" s="6"/>
      <c r="BX912" s="11"/>
    </row>
    <row r="913" spans="1:76" ht="15.7">
      <c r="A913" s="6"/>
      <c r="B913" s="7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  <c r="AZ913" s="6"/>
      <c r="BA913" s="6"/>
      <c r="BB913" s="6"/>
      <c r="BC913" s="6"/>
      <c r="BD913" s="6"/>
      <c r="BE913" s="6"/>
      <c r="BF913" s="6"/>
      <c r="BG913" s="6"/>
      <c r="BH913" s="6"/>
      <c r="BI913" s="6"/>
      <c r="BJ913" s="6"/>
      <c r="BK913" s="6"/>
      <c r="BL913" s="6"/>
      <c r="BM913" s="6"/>
      <c r="BN913" s="6"/>
      <c r="BO913" s="6"/>
      <c r="BP913" s="6"/>
      <c r="BQ913" s="6"/>
      <c r="BR913" s="6"/>
      <c r="BS913" s="6"/>
      <c r="BT913" s="6"/>
      <c r="BU913" s="6"/>
      <c r="BV913" s="6"/>
      <c r="BW913" s="6"/>
      <c r="BX913" s="11"/>
    </row>
    <row r="914" spans="1:76" ht="15.7">
      <c r="A914" s="6"/>
      <c r="B914" s="7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  <c r="AZ914" s="6"/>
      <c r="BA914" s="6"/>
      <c r="BB914" s="6"/>
      <c r="BC914" s="6"/>
      <c r="BD914" s="6"/>
      <c r="BE914" s="6"/>
      <c r="BF914" s="6"/>
      <c r="BG914" s="6"/>
      <c r="BH914" s="6"/>
      <c r="BI914" s="6"/>
      <c r="BJ914" s="6"/>
      <c r="BK914" s="6"/>
      <c r="BL914" s="6"/>
      <c r="BM914" s="6"/>
      <c r="BN914" s="6"/>
      <c r="BO914" s="6"/>
      <c r="BP914" s="6"/>
      <c r="BQ914" s="6"/>
      <c r="BR914" s="6"/>
      <c r="BS914" s="6"/>
      <c r="BT914" s="6"/>
      <c r="BU914" s="6"/>
      <c r="BV914" s="6"/>
      <c r="BW914" s="6"/>
      <c r="BX914" s="11"/>
    </row>
    <row r="915" spans="1:76" ht="15.7">
      <c r="A915" s="6"/>
      <c r="B915" s="7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  <c r="AZ915" s="6"/>
      <c r="BA915" s="6"/>
      <c r="BB915" s="6"/>
      <c r="BC915" s="6"/>
      <c r="BD915" s="6"/>
      <c r="BE915" s="6"/>
      <c r="BF915" s="6"/>
      <c r="BG915" s="6"/>
      <c r="BH915" s="6"/>
      <c r="BI915" s="6"/>
      <c r="BJ915" s="6"/>
      <c r="BK915" s="6"/>
      <c r="BL915" s="6"/>
      <c r="BM915" s="6"/>
      <c r="BN915" s="6"/>
      <c r="BO915" s="6"/>
      <c r="BP915" s="6"/>
      <c r="BQ915" s="6"/>
      <c r="BR915" s="6"/>
      <c r="BS915" s="6"/>
      <c r="BT915" s="6"/>
      <c r="BU915" s="6"/>
      <c r="BV915" s="6"/>
      <c r="BW915" s="6"/>
      <c r="BX915" s="11"/>
    </row>
    <row r="916" spans="1:76" ht="15.7">
      <c r="A916" s="6"/>
      <c r="B916" s="7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  <c r="AZ916" s="6"/>
      <c r="BA916" s="6"/>
      <c r="BB916" s="6"/>
      <c r="BC916" s="6"/>
      <c r="BD916" s="6"/>
      <c r="BE916" s="6"/>
      <c r="BF916" s="6"/>
      <c r="BG916" s="6"/>
      <c r="BH916" s="6"/>
      <c r="BI916" s="6"/>
      <c r="BJ916" s="6"/>
      <c r="BK916" s="6"/>
      <c r="BL916" s="6"/>
      <c r="BM916" s="6"/>
      <c r="BN916" s="6"/>
      <c r="BO916" s="6"/>
      <c r="BP916" s="6"/>
      <c r="BQ916" s="6"/>
      <c r="BR916" s="6"/>
      <c r="BS916" s="6"/>
      <c r="BT916" s="6"/>
      <c r="BU916" s="6"/>
      <c r="BV916" s="6"/>
      <c r="BW916" s="6"/>
      <c r="BX916" s="11"/>
    </row>
    <row r="917" spans="1:76" ht="15.7">
      <c r="A917" s="6"/>
      <c r="B917" s="7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  <c r="AZ917" s="6"/>
      <c r="BA917" s="6"/>
      <c r="BB917" s="6"/>
      <c r="BC917" s="6"/>
      <c r="BD917" s="6"/>
      <c r="BE917" s="6"/>
      <c r="BF917" s="6"/>
      <c r="BG917" s="6"/>
      <c r="BH917" s="6"/>
      <c r="BI917" s="6"/>
      <c r="BJ917" s="6"/>
      <c r="BK917" s="6"/>
      <c r="BL917" s="6"/>
      <c r="BM917" s="6"/>
      <c r="BN917" s="6"/>
      <c r="BO917" s="6"/>
      <c r="BP917" s="6"/>
      <c r="BQ917" s="6"/>
      <c r="BR917" s="6"/>
      <c r="BS917" s="6"/>
      <c r="BT917" s="6"/>
      <c r="BU917" s="6"/>
      <c r="BV917" s="6"/>
      <c r="BW917" s="6"/>
      <c r="BX917" s="11"/>
    </row>
    <row r="918" spans="1:76" ht="15.7">
      <c r="A918" s="6"/>
      <c r="B918" s="7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  <c r="AZ918" s="6"/>
      <c r="BA918" s="6"/>
      <c r="BB918" s="6"/>
      <c r="BC918" s="6"/>
      <c r="BD918" s="6"/>
      <c r="BE918" s="6"/>
      <c r="BF918" s="6"/>
      <c r="BG918" s="6"/>
      <c r="BH918" s="6"/>
      <c r="BI918" s="6"/>
      <c r="BJ918" s="6"/>
      <c r="BK918" s="6"/>
      <c r="BL918" s="6"/>
      <c r="BM918" s="6"/>
      <c r="BN918" s="6"/>
      <c r="BO918" s="6"/>
      <c r="BP918" s="6"/>
      <c r="BQ918" s="6"/>
      <c r="BR918" s="6"/>
      <c r="BS918" s="6"/>
      <c r="BT918" s="6"/>
      <c r="BU918" s="6"/>
      <c r="BV918" s="6"/>
      <c r="BW918" s="6"/>
      <c r="BX918" s="11"/>
    </row>
    <row r="919" spans="1:76" ht="15.7">
      <c r="A919" s="6"/>
      <c r="B919" s="7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  <c r="AZ919" s="6"/>
      <c r="BA919" s="6"/>
      <c r="BB919" s="6"/>
      <c r="BC919" s="6"/>
      <c r="BD919" s="6"/>
      <c r="BE919" s="6"/>
      <c r="BF919" s="6"/>
      <c r="BG919" s="6"/>
      <c r="BH919" s="6"/>
      <c r="BI919" s="6"/>
      <c r="BJ919" s="6"/>
      <c r="BK919" s="6"/>
      <c r="BL919" s="6"/>
      <c r="BM919" s="6"/>
      <c r="BN919" s="6"/>
      <c r="BO919" s="6"/>
      <c r="BP919" s="6"/>
      <c r="BQ919" s="6"/>
      <c r="BR919" s="6"/>
      <c r="BS919" s="6"/>
      <c r="BT919" s="6"/>
      <c r="BU919" s="6"/>
      <c r="BV919" s="6"/>
      <c r="BW919" s="6"/>
      <c r="BX919" s="11"/>
    </row>
    <row r="920" spans="1:76" ht="15.7">
      <c r="A920" s="6"/>
      <c r="B920" s="7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  <c r="AZ920" s="6"/>
      <c r="BA920" s="6"/>
      <c r="BB920" s="6"/>
      <c r="BC920" s="6"/>
      <c r="BD920" s="6"/>
      <c r="BE920" s="6"/>
      <c r="BF920" s="6"/>
      <c r="BG920" s="6"/>
      <c r="BH920" s="6"/>
      <c r="BI920" s="6"/>
      <c r="BJ920" s="6"/>
      <c r="BK920" s="6"/>
      <c r="BL920" s="6"/>
      <c r="BM920" s="6"/>
      <c r="BN920" s="6"/>
      <c r="BO920" s="6"/>
      <c r="BP920" s="6"/>
      <c r="BQ920" s="6"/>
      <c r="BR920" s="6"/>
      <c r="BS920" s="6"/>
      <c r="BT920" s="6"/>
      <c r="BU920" s="6"/>
      <c r="BV920" s="6"/>
      <c r="BW920" s="6"/>
      <c r="BX920" s="11"/>
    </row>
    <row r="921" spans="1:76" ht="15.7">
      <c r="A921" s="6"/>
      <c r="B921" s="7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  <c r="AZ921" s="6"/>
      <c r="BA921" s="6"/>
      <c r="BB921" s="6"/>
      <c r="BC921" s="6"/>
      <c r="BD921" s="6"/>
      <c r="BE921" s="6"/>
      <c r="BF921" s="6"/>
      <c r="BG921" s="6"/>
      <c r="BH921" s="6"/>
      <c r="BI921" s="6"/>
      <c r="BJ921" s="6"/>
      <c r="BK921" s="6"/>
      <c r="BL921" s="6"/>
      <c r="BM921" s="6"/>
      <c r="BN921" s="6"/>
      <c r="BO921" s="6"/>
      <c r="BP921" s="6"/>
      <c r="BQ921" s="6"/>
      <c r="BR921" s="6"/>
      <c r="BS921" s="6"/>
      <c r="BT921" s="6"/>
      <c r="BU921" s="6"/>
      <c r="BV921" s="6"/>
      <c r="BW921" s="6"/>
      <c r="BX921" s="11"/>
    </row>
    <row r="922" spans="1:76" ht="15.7">
      <c r="A922" s="6"/>
      <c r="B922" s="7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  <c r="AZ922" s="6"/>
      <c r="BA922" s="6"/>
      <c r="BB922" s="6"/>
      <c r="BC922" s="6"/>
      <c r="BD922" s="6"/>
      <c r="BE922" s="6"/>
      <c r="BF922" s="6"/>
      <c r="BG922" s="6"/>
      <c r="BH922" s="6"/>
      <c r="BI922" s="6"/>
      <c r="BJ922" s="6"/>
      <c r="BK922" s="6"/>
      <c r="BL922" s="6"/>
      <c r="BM922" s="6"/>
      <c r="BN922" s="6"/>
      <c r="BO922" s="6"/>
      <c r="BP922" s="6"/>
      <c r="BQ922" s="6"/>
      <c r="BR922" s="6"/>
      <c r="BS922" s="6"/>
      <c r="BT922" s="6"/>
      <c r="BU922" s="6"/>
      <c r="BV922" s="6"/>
      <c r="BW922" s="6"/>
      <c r="BX922" s="11"/>
    </row>
    <row r="923" spans="1:76" ht="15.7">
      <c r="A923" s="6"/>
      <c r="B923" s="7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  <c r="AZ923" s="6"/>
      <c r="BA923" s="6"/>
      <c r="BB923" s="6"/>
      <c r="BC923" s="6"/>
      <c r="BD923" s="6"/>
      <c r="BE923" s="6"/>
      <c r="BF923" s="6"/>
      <c r="BG923" s="6"/>
      <c r="BH923" s="6"/>
      <c r="BI923" s="6"/>
      <c r="BJ923" s="6"/>
      <c r="BK923" s="6"/>
      <c r="BL923" s="6"/>
      <c r="BM923" s="6"/>
      <c r="BN923" s="6"/>
      <c r="BO923" s="6"/>
      <c r="BP923" s="6"/>
      <c r="BQ923" s="6"/>
      <c r="BR923" s="6"/>
      <c r="BS923" s="6"/>
      <c r="BT923" s="6"/>
      <c r="BU923" s="6"/>
      <c r="BV923" s="6"/>
      <c r="BW923" s="6"/>
      <c r="BX923" s="11"/>
    </row>
    <row r="924" spans="1:76" ht="15.7">
      <c r="A924" s="6"/>
      <c r="B924" s="7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  <c r="AZ924" s="6"/>
      <c r="BA924" s="6"/>
      <c r="BB924" s="6"/>
      <c r="BC924" s="6"/>
      <c r="BD924" s="6"/>
      <c r="BE924" s="6"/>
      <c r="BF924" s="6"/>
      <c r="BG924" s="6"/>
      <c r="BH924" s="6"/>
      <c r="BI924" s="6"/>
      <c r="BJ924" s="6"/>
      <c r="BK924" s="6"/>
      <c r="BL924" s="6"/>
      <c r="BM924" s="6"/>
      <c r="BN924" s="6"/>
      <c r="BO924" s="6"/>
      <c r="BP924" s="6"/>
      <c r="BQ924" s="6"/>
      <c r="BR924" s="6"/>
      <c r="BS924" s="6"/>
      <c r="BT924" s="6"/>
      <c r="BU924" s="6"/>
      <c r="BV924" s="6"/>
      <c r="BW924" s="6"/>
      <c r="BX924" s="11"/>
    </row>
    <row r="925" spans="1:76" ht="15.7">
      <c r="A925" s="6"/>
      <c r="B925" s="7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  <c r="AZ925" s="6"/>
      <c r="BA925" s="6"/>
      <c r="BB925" s="6"/>
      <c r="BC925" s="6"/>
      <c r="BD925" s="6"/>
      <c r="BE925" s="6"/>
      <c r="BF925" s="6"/>
      <c r="BG925" s="6"/>
      <c r="BH925" s="6"/>
      <c r="BI925" s="6"/>
      <c r="BJ925" s="6"/>
      <c r="BK925" s="6"/>
      <c r="BL925" s="6"/>
      <c r="BM925" s="6"/>
      <c r="BN925" s="6"/>
      <c r="BO925" s="6"/>
      <c r="BP925" s="6"/>
      <c r="BQ925" s="6"/>
      <c r="BR925" s="6"/>
      <c r="BS925" s="6"/>
      <c r="BT925" s="6"/>
      <c r="BU925" s="6"/>
      <c r="BV925" s="6"/>
      <c r="BW925" s="6"/>
      <c r="BX925" s="11"/>
    </row>
    <row r="926" spans="1:76" ht="15.7">
      <c r="A926" s="6"/>
      <c r="B926" s="7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  <c r="AZ926" s="6"/>
      <c r="BA926" s="6"/>
      <c r="BB926" s="6"/>
      <c r="BC926" s="6"/>
      <c r="BD926" s="6"/>
      <c r="BE926" s="6"/>
      <c r="BF926" s="6"/>
      <c r="BG926" s="6"/>
      <c r="BH926" s="6"/>
      <c r="BI926" s="6"/>
      <c r="BJ926" s="6"/>
      <c r="BK926" s="6"/>
      <c r="BL926" s="6"/>
      <c r="BM926" s="6"/>
      <c r="BN926" s="6"/>
      <c r="BO926" s="6"/>
      <c r="BP926" s="6"/>
      <c r="BQ926" s="6"/>
      <c r="BR926" s="6"/>
      <c r="BS926" s="6"/>
      <c r="BT926" s="6"/>
      <c r="BU926" s="6"/>
      <c r="BV926" s="6"/>
      <c r="BW926" s="6"/>
      <c r="BX926" s="11"/>
    </row>
    <row r="927" spans="1:76" ht="15.7">
      <c r="A927" s="6"/>
      <c r="B927" s="7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  <c r="AZ927" s="6"/>
      <c r="BA927" s="6"/>
      <c r="BB927" s="6"/>
      <c r="BC927" s="6"/>
      <c r="BD927" s="6"/>
      <c r="BE927" s="6"/>
      <c r="BF927" s="6"/>
      <c r="BG927" s="6"/>
      <c r="BH927" s="6"/>
      <c r="BI927" s="6"/>
      <c r="BJ927" s="6"/>
      <c r="BK927" s="6"/>
      <c r="BL927" s="6"/>
      <c r="BM927" s="6"/>
      <c r="BN927" s="6"/>
      <c r="BO927" s="6"/>
      <c r="BP927" s="6"/>
      <c r="BQ927" s="6"/>
      <c r="BR927" s="6"/>
      <c r="BS927" s="6"/>
      <c r="BT927" s="6"/>
      <c r="BU927" s="6"/>
      <c r="BV927" s="6"/>
      <c r="BW927" s="6"/>
      <c r="BX927" s="11"/>
    </row>
    <row r="928" spans="1:76" ht="15.7">
      <c r="A928" s="6"/>
      <c r="B928" s="7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  <c r="AZ928" s="6"/>
      <c r="BA928" s="6"/>
      <c r="BB928" s="6"/>
      <c r="BC928" s="6"/>
      <c r="BD928" s="6"/>
      <c r="BE928" s="6"/>
      <c r="BF928" s="6"/>
      <c r="BG928" s="6"/>
      <c r="BH928" s="6"/>
      <c r="BI928" s="6"/>
      <c r="BJ928" s="6"/>
      <c r="BK928" s="6"/>
      <c r="BL928" s="6"/>
      <c r="BM928" s="6"/>
      <c r="BN928" s="6"/>
      <c r="BO928" s="6"/>
      <c r="BP928" s="6"/>
      <c r="BQ928" s="6"/>
      <c r="BR928" s="6"/>
      <c r="BS928" s="6"/>
      <c r="BT928" s="6"/>
      <c r="BU928" s="6"/>
      <c r="BV928" s="6"/>
      <c r="BW928" s="6"/>
      <c r="BX928" s="11"/>
    </row>
    <row r="929" spans="1:76" ht="15.7">
      <c r="A929" s="6"/>
      <c r="B929" s="7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  <c r="AZ929" s="6"/>
      <c r="BA929" s="6"/>
      <c r="BB929" s="6"/>
      <c r="BC929" s="6"/>
      <c r="BD929" s="6"/>
      <c r="BE929" s="6"/>
      <c r="BF929" s="6"/>
      <c r="BG929" s="6"/>
      <c r="BH929" s="6"/>
      <c r="BI929" s="6"/>
      <c r="BJ929" s="6"/>
      <c r="BK929" s="6"/>
      <c r="BL929" s="6"/>
      <c r="BM929" s="6"/>
      <c r="BN929" s="6"/>
      <c r="BO929" s="6"/>
      <c r="BP929" s="6"/>
      <c r="BQ929" s="6"/>
      <c r="BR929" s="6"/>
      <c r="BS929" s="6"/>
      <c r="BT929" s="6"/>
      <c r="BU929" s="6"/>
      <c r="BV929" s="6"/>
      <c r="BW929" s="6"/>
      <c r="BX929" s="11"/>
    </row>
    <row r="930" spans="1:76" ht="15.7">
      <c r="A930" s="6"/>
      <c r="B930" s="7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  <c r="AZ930" s="6"/>
      <c r="BA930" s="6"/>
      <c r="BB930" s="6"/>
      <c r="BC930" s="6"/>
      <c r="BD930" s="6"/>
      <c r="BE930" s="6"/>
      <c r="BF930" s="6"/>
      <c r="BG930" s="6"/>
      <c r="BH930" s="6"/>
      <c r="BI930" s="6"/>
      <c r="BJ930" s="6"/>
      <c r="BK930" s="6"/>
      <c r="BL930" s="6"/>
      <c r="BM930" s="6"/>
      <c r="BN930" s="6"/>
      <c r="BO930" s="6"/>
      <c r="BP930" s="6"/>
      <c r="BQ930" s="6"/>
      <c r="BR930" s="6"/>
      <c r="BS930" s="6"/>
      <c r="BT930" s="6"/>
      <c r="BU930" s="6"/>
      <c r="BV930" s="6"/>
      <c r="BW930" s="6"/>
      <c r="BX930" s="11"/>
    </row>
    <row r="931" spans="1:76" ht="15.7">
      <c r="A931" s="6"/>
      <c r="B931" s="7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  <c r="AZ931" s="6"/>
      <c r="BA931" s="6"/>
      <c r="BB931" s="6"/>
      <c r="BC931" s="6"/>
      <c r="BD931" s="6"/>
      <c r="BE931" s="6"/>
      <c r="BF931" s="6"/>
      <c r="BG931" s="6"/>
      <c r="BH931" s="6"/>
      <c r="BI931" s="6"/>
      <c r="BJ931" s="6"/>
      <c r="BK931" s="6"/>
      <c r="BL931" s="6"/>
      <c r="BM931" s="6"/>
      <c r="BN931" s="6"/>
      <c r="BO931" s="6"/>
      <c r="BP931" s="6"/>
      <c r="BQ931" s="6"/>
      <c r="BR931" s="6"/>
      <c r="BS931" s="6"/>
      <c r="BT931" s="6"/>
      <c r="BU931" s="6"/>
      <c r="BV931" s="6"/>
      <c r="BW931" s="6"/>
      <c r="BX931" s="11"/>
    </row>
    <row r="932" spans="1:76" ht="15.7">
      <c r="A932" s="6"/>
      <c r="B932" s="7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  <c r="AZ932" s="6"/>
      <c r="BA932" s="6"/>
      <c r="BB932" s="6"/>
      <c r="BC932" s="6"/>
      <c r="BD932" s="6"/>
      <c r="BE932" s="6"/>
      <c r="BF932" s="6"/>
      <c r="BG932" s="6"/>
      <c r="BH932" s="6"/>
      <c r="BI932" s="6"/>
      <c r="BJ932" s="6"/>
      <c r="BK932" s="6"/>
      <c r="BL932" s="6"/>
      <c r="BM932" s="6"/>
      <c r="BN932" s="6"/>
      <c r="BO932" s="6"/>
      <c r="BP932" s="6"/>
      <c r="BQ932" s="6"/>
      <c r="BR932" s="6"/>
      <c r="BS932" s="6"/>
      <c r="BT932" s="6"/>
      <c r="BU932" s="6"/>
      <c r="BV932" s="6"/>
      <c r="BW932" s="6"/>
      <c r="BX932" s="11"/>
    </row>
    <row r="933" spans="1:76" ht="15.7">
      <c r="A933" s="6"/>
      <c r="B933" s="7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  <c r="AZ933" s="6"/>
      <c r="BA933" s="6"/>
      <c r="BB933" s="6"/>
      <c r="BC933" s="6"/>
      <c r="BD933" s="6"/>
      <c r="BE933" s="6"/>
      <c r="BF933" s="6"/>
      <c r="BG933" s="6"/>
      <c r="BH933" s="6"/>
      <c r="BI933" s="6"/>
      <c r="BJ933" s="6"/>
      <c r="BK933" s="6"/>
      <c r="BL933" s="6"/>
      <c r="BM933" s="6"/>
      <c r="BN933" s="6"/>
      <c r="BO933" s="6"/>
      <c r="BP933" s="6"/>
      <c r="BQ933" s="6"/>
      <c r="BR933" s="6"/>
      <c r="BS933" s="6"/>
      <c r="BT933" s="6"/>
      <c r="BU933" s="6"/>
      <c r="BV933" s="6"/>
      <c r="BW933" s="6"/>
      <c r="BX933" s="11"/>
    </row>
    <row r="934" spans="1:76" ht="15.7">
      <c r="A934" s="6"/>
      <c r="B934" s="7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  <c r="AZ934" s="6"/>
      <c r="BA934" s="6"/>
      <c r="BB934" s="6"/>
      <c r="BC934" s="6"/>
      <c r="BD934" s="6"/>
      <c r="BE934" s="6"/>
      <c r="BF934" s="6"/>
      <c r="BG934" s="6"/>
      <c r="BH934" s="6"/>
      <c r="BI934" s="6"/>
      <c r="BJ934" s="6"/>
      <c r="BK934" s="6"/>
      <c r="BL934" s="6"/>
      <c r="BM934" s="6"/>
      <c r="BN934" s="6"/>
      <c r="BO934" s="6"/>
      <c r="BP934" s="6"/>
      <c r="BQ934" s="6"/>
      <c r="BR934" s="6"/>
      <c r="BS934" s="6"/>
      <c r="BT934" s="6"/>
      <c r="BU934" s="6"/>
      <c r="BV934" s="6"/>
      <c r="BW934" s="6"/>
      <c r="BX934" s="11"/>
    </row>
    <row r="935" spans="1:76" ht="15.7">
      <c r="A935" s="6"/>
      <c r="B935" s="7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  <c r="AZ935" s="6"/>
      <c r="BA935" s="6"/>
      <c r="BB935" s="6"/>
      <c r="BC935" s="6"/>
      <c r="BD935" s="6"/>
      <c r="BE935" s="6"/>
      <c r="BF935" s="6"/>
      <c r="BG935" s="6"/>
      <c r="BH935" s="6"/>
      <c r="BI935" s="6"/>
      <c r="BJ935" s="6"/>
      <c r="BK935" s="6"/>
      <c r="BL935" s="6"/>
      <c r="BM935" s="6"/>
      <c r="BN935" s="6"/>
      <c r="BO935" s="6"/>
      <c r="BP935" s="6"/>
      <c r="BQ935" s="6"/>
      <c r="BR935" s="6"/>
      <c r="BS935" s="6"/>
      <c r="BT935" s="6"/>
      <c r="BU935" s="6"/>
      <c r="BV935" s="6"/>
      <c r="BW935" s="6"/>
      <c r="BX935" s="11"/>
    </row>
    <row r="936" spans="1:76" ht="15.7">
      <c r="A936" s="6"/>
      <c r="B936" s="7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  <c r="AZ936" s="6"/>
      <c r="BA936" s="6"/>
      <c r="BB936" s="6"/>
      <c r="BC936" s="6"/>
      <c r="BD936" s="6"/>
      <c r="BE936" s="6"/>
      <c r="BF936" s="6"/>
      <c r="BG936" s="6"/>
      <c r="BH936" s="6"/>
      <c r="BI936" s="6"/>
      <c r="BJ936" s="6"/>
      <c r="BK936" s="6"/>
      <c r="BL936" s="6"/>
      <c r="BM936" s="6"/>
      <c r="BN936" s="6"/>
      <c r="BO936" s="6"/>
      <c r="BP936" s="6"/>
      <c r="BQ936" s="6"/>
      <c r="BR936" s="6"/>
      <c r="BS936" s="6"/>
      <c r="BT936" s="6"/>
      <c r="BU936" s="6"/>
      <c r="BV936" s="6"/>
      <c r="BW936" s="6"/>
      <c r="BX936" s="11"/>
    </row>
    <row r="937" spans="1:76" ht="15.7">
      <c r="A937" s="6"/>
      <c r="B937" s="7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  <c r="AZ937" s="6"/>
      <c r="BA937" s="6"/>
      <c r="BB937" s="6"/>
      <c r="BC937" s="6"/>
      <c r="BD937" s="6"/>
      <c r="BE937" s="6"/>
      <c r="BF937" s="6"/>
      <c r="BG937" s="6"/>
      <c r="BH937" s="6"/>
      <c r="BI937" s="6"/>
      <c r="BJ937" s="6"/>
      <c r="BK937" s="6"/>
      <c r="BL937" s="6"/>
      <c r="BM937" s="6"/>
      <c r="BN937" s="6"/>
      <c r="BO937" s="6"/>
      <c r="BP937" s="6"/>
      <c r="BQ937" s="6"/>
      <c r="BR937" s="6"/>
      <c r="BS937" s="6"/>
      <c r="BT937" s="6"/>
      <c r="BU937" s="6"/>
      <c r="BV937" s="6"/>
      <c r="BW937" s="6"/>
      <c r="BX937" s="11"/>
    </row>
    <row r="938" spans="1:76" ht="15.7">
      <c r="A938" s="6"/>
      <c r="B938" s="7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  <c r="AZ938" s="6"/>
      <c r="BA938" s="6"/>
      <c r="BB938" s="6"/>
      <c r="BC938" s="6"/>
      <c r="BD938" s="6"/>
      <c r="BE938" s="6"/>
      <c r="BF938" s="6"/>
      <c r="BG938" s="6"/>
      <c r="BH938" s="6"/>
      <c r="BI938" s="6"/>
      <c r="BJ938" s="6"/>
      <c r="BK938" s="6"/>
      <c r="BL938" s="6"/>
      <c r="BM938" s="6"/>
      <c r="BN938" s="6"/>
      <c r="BO938" s="6"/>
      <c r="BP938" s="6"/>
      <c r="BQ938" s="6"/>
      <c r="BR938" s="6"/>
      <c r="BS938" s="6"/>
      <c r="BT938" s="6"/>
      <c r="BU938" s="6"/>
      <c r="BV938" s="6"/>
      <c r="BW938" s="6"/>
      <c r="BX938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B75"/>
  <sheetViews>
    <sheetView workbookViewId="0"/>
  </sheetViews>
  <sheetFormatPr defaultColWidth="14.41015625" defaultRowHeight="15" customHeight="1"/>
  <cols>
    <col min="2" max="2" width="100" customWidth="1"/>
  </cols>
  <sheetData>
    <row r="1" spans="1:2" ht="15" customHeight="1">
      <c r="A1" s="10" t="s">
        <v>158</v>
      </c>
      <c r="B1" s="14"/>
    </row>
    <row r="2" spans="1:2" ht="15" customHeight="1">
      <c r="A2" s="15" t="s">
        <v>159</v>
      </c>
      <c r="B2" s="16" t="s">
        <v>160</v>
      </c>
    </row>
    <row r="3" spans="1:2">
      <c r="A3" s="17" t="s">
        <v>3</v>
      </c>
      <c r="B3" s="18" t="s">
        <v>161</v>
      </c>
    </row>
    <row r="4" spans="1:2">
      <c r="A4" s="19" t="s">
        <v>4</v>
      </c>
      <c r="B4" s="20" t="s">
        <v>162</v>
      </c>
    </row>
    <row r="5" spans="1:2">
      <c r="A5" s="19" t="s">
        <v>163</v>
      </c>
      <c r="B5" s="21" t="s">
        <v>164</v>
      </c>
    </row>
    <row r="6" spans="1:2">
      <c r="A6" s="19" t="s">
        <v>6</v>
      </c>
      <c r="B6" s="21" t="s">
        <v>165</v>
      </c>
    </row>
    <row r="7" spans="1:2">
      <c r="A7" s="19" t="s">
        <v>7</v>
      </c>
      <c r="B7" s="22" t="s">
        <v>166</v>
      </c>
    </row>
    <row r="8" spans="1:2">
      <c r="A8" s="19" t="s">
        <v>8</v>
      </c>
      <c r="B8" s="21" t="s">
        <v>167</v>
      </c>
    </row>
    <row r="9" spans="1:2">
      <c r="A9" s="19" t="s">
        <v>168</v>
      </c>
      <c r="B9" s="21" t="s">
        <v>169</v>
      </c>
    </row>
    <row r="10" spans="1:2">
      <c r="A10" s="19" t="s">
        <v>10</v>
      </c>
      <c r="B10" s="22" t="s">
        <v>170</v>
      </c>
    </row>
    <row r="11" spans="1:2">
      <c r="A11" s="19" t="s">
        <v>11</v>
      </c>
      <c r="B11" s="21" t="s">
        <v>171</v>
      </c>
    </row>
    <row r="12" spans="1:2">
      <c r="A12" s="19" t="s">
        <v>12</v>
      </c>
      <c r="B12" s="21" t="s">
        <v>172</v>
      </c>
    </row>
    <row r="13" spans="1:2">
      <c r="A13" s="19" t="s">
        <v>14</v>
      </c>
      <c r="B13" s="22" t="s">
        <v>173</v>
      </c>
    </row>
    <row r="14" spans="1:2">
      <c r="A14" s="19" t="s">
        <v>13</v>
      </c>
      <c r="B14" s="22" t="s">
        <v>161</v>
      </c>
    </row>
    <row r="15" spans="1:2">
      <c r="A15" s="19" t="s">
        <v>15</v>
      </c>
      <c r="B15" s="21" t="s">
        <v>174</v>
      </c>
    </row>
    <row r="16" spans="1:2">
      <c r="A16" s="19" t="s">
        <v>16</v>
      </c>
      <c r="B16" s="22" t="s">
        <v>173</v>
      </c>
    </row>
    <row r="17" spans="1:2">
      <c r="A17" s="19" t="s">
        <v>17</v>
      </c>
      <c r="B17" s="22" t="s">
        <v>170</v>
      </c>
    </row>
    <row r="18" spans="1:2">
      <c r="A18" s="19" t="s">
        <v>18</v>
      </c>
      <c r="B18" s="21" t="s">
        <v>175</v>
      </c>
    </row>
    <row r="19" spans="1:2">
      <c r="A19" s="19" t="s">
        <v>19</v>
      </c>
      <c r="B19" s="21" t="s">
        <v>172</v>
      </c>
    </row>
    <row r="20" spans="1:2">
      <c r="A20" s="19" t="s">
        <v>20</v>
      </c>
      <c r="B20" s="21" t="s">
        <v>176</v>
      </c>
    </row>
    <row r="21" spans="1:2">
      <c r="A21" s="19" t="s">
        <v>21</v>
      </c>
      <c r="B21" s="22" t="s">
        <v>176</v>
      </c>
    </row>
    <row r="22" spans="1:2">
      <c r="A22" s="19" t="s">
        <v>22</v>
      </c>
      <c r="B22" s="22" t="s">
        <v>177</v>
      </c>
    </row>
    <row r="23" spans="1:2">
      <c r="A23" s="19" t="s">
        <v>23</v>
      </c>
      <c r="B23" s="22" t="s">
        <v>178</v>
      </c>
    </row>
    <row r="24" spans="1:2">
      <c r="A24" s="19" t="s">
        <v>179</v>
      </c>
      <c r="B24" s="22" t="s">
        <v>176</v>
      </c>
    </row>
    <row r="25" spans="1:2">
      <c r="A25" s="19" t="s">
        <v>25</v>
      </c>
      <c r="B25" s="22" t="s">
        <v>176</v>
      </c>
    </row>
    <row r="26" spans="1:2">
      <c r="A26" s="19" t="s">
        <v>26</v>
      </c>
      <c r="B26" s="22" t="s">
        <v>180</v>
      </c>
    </row>
    <row r="27" spans="1:2">
      <c r="A27" s="19" t="s">
        <v>27</v>
      </c>
      <c r="B27" s="22" t="s">
        <v>176</v>
      </c>
    </row>
    <row r="28" spans="1:2">
      <c r="A28" s="19" t="s">
        <v>28</v>
      </c>
      <c r="B28" s="22" t="s">
        <v>176</v>
      </c>
    </row>
    <row r="29" spans="1:2">
      <c r="A29" s="19" t="s">
        <v>29</v>
      </c>
      <c r="B29" s="21" t="s">
        <v>181</v>
      </c>
    </row>
    <row r="30" spans="1:2">
      <c r="A30" s="19" t="s">
        <v>182</v>
      </c>
      <c r="B30" s="22" t="s">
        <v>176</v>
      </c>
    </row>
    <row r="31" spans="1:2">
      <c r="A31" s="19" t="s">
        <v>31</v>
      </c>
      <c r="B31" s="22" t="s">
        <v>176</v>
      </c>
    </row>
    <row r="32" spans="1:2">
      <c r="A32" s="19" t="s">
        <v>32</v>
      </c>
      <c r="B32" s="21" t="s">
        <v>183</v>
      </c>
    </row>
    <row r="33" spans="1:2">
      <c r="A33" s="19" t="s">
        <v>33</v>
      </c>
      <c r="B33" s="22" t="s">
        <v>170</v>
      </c>
    </row>
    <row r="34" spans="1:2" ht="14.35">
      <c r="A34" s="19" t="s">
        <v>184</v>
      </c>
      <c r="B34" s="23" t="s">
        <v>185</v>
      </c>
    </row>
    <row r="35" spans="1:2" ht="14.35">
      <c r="A35" s="19" t="s">
        <v>35</v>
      </c>
      <c r="B35" s="22" t="s">
        <v>176</v>
      </c>
    </row>
    <row r="36" spans="1:2" ht="14.35">
      <c r="A36" s="19" t="s">
        <v>186</v>
      </c>
      <c r="B36" s="22" t="s">
        <v>170</v>
      </c>
    </row>
    <row r="37" spans="1:2" ht="14.35">
      <c r="A37" s="19" t="s">
        <v>37</v>
      </c>
      <c r="B37" s="21" t="s">
        <v>187</v>
      </c>
    </row>
    <row r="38" spans="1:2" ht="14.35">
      <c r="A38" s="19" t="s">
        <v>188</v>
      </c>
      <c r="B38" s="21" t="s">
        <v>189</v>
      </c>
    </row>
    <row r="39" spans="1:2" ht="14.35">
      <c r="A39" s="19" t="s">
        <v>38</v>
      </c>
      <c r="B39" s="22" t="s">
        <v>190</v>
      </c>
    </row>
    <row r="40" spans="1:2" ht="14.35">
      <c r="A40" s="19" t="s">
        <v>39</v>
      </c>
      <c r="B40" s="21" t="s">
        <v>191</v>
      </c>
    </row>
    <row r="41" spans="1:2" ht="14.35">
      <c r="A41" s="19" t="s">
        <v>40</v>
      </c>
      <c r="B41" s="22" t="s">
        <v>192</v>
      </c>
    </row>
    <row r="42" spans="1:2" ht="14.35">
      <c r="A42" s="19" t="s">
        <v>41</v>
      </c>
      <c r="B42" s="23" t="s">
        <v>170</v>
      </c>
    </row>
    <row r="43" spans="1:2" ht="14.35">
      <c r="A43" s="19" t="s">
        <v>42</v>
      </c>
      <c r="B43" s="22" t="s">
        <v>170</v>
      </c>
    </row>
    <row r="44" spans="1:2" ht="43">
      <c r="A44" s="19" t="s">
        <v>43</v>
      </c>
      <c r="B44" s="21" t="s">
        <v>193</v>
      </c>
    </row>
    <row r="45" spans="1:2" ht="14.35">
      <c r="A45" s="19" t="s">
        <v>44</v>
      </c>
      <c r="B45" s="21" t="s">
        <v>176</v>
      </c>
    </row>
    <row r="46" spans="1:2" ht="14.35">
      <c r="A46" s="19" t="s">
        <v>45</v>
      </c>
      <c r="B46" s="22" t="s">
        <v>190</v>
      </c>
    </row>
    <row r="47" spans="1:2" ht="14.35">
      <c r="A47" s="19" t="s">
        <v>46</v>
      </c>
      <c r="B47" s="21" t="s">
        <v>194</v>
      </c>
    </row>
    <row r="48" spans="1:2" ht="28.7">
      <c r="A48" s="19" t="s">
        <v>47</v>
      </c>
      <c r="B48" s="22" t="s">
        <v>195</v>
      </c>
    </row>
    <row r="49" spans="1:2" ht="14.35">
      <c r="A49" s="19" t="s">
        <v>48</v>
      </c>
      <c r="B49" s="21" t="s">
        <v>196</v>
      </c>
    </row>
    <row r="50" spans="1:2" ht="14.35">
      <c r="A50" s="19" t="s">
        <v>49</v>
      </c>
      <c r="B50" s="21" t="s">
        <v>172</v>
      </c>
    </row>
    <row r="51" spans="1:2" ht="14.35">
      <c r="A51" s="19" t="s">
        <v>50</v>
      </c>
      <c r="B51" s="21" t="s">
        <v>176</v>
      </c>
    </row>
    <row r="52" spans="1:2" ht="14.35">
      <c r="A52" s="19" t="s">
        <v>197</v>
      </c>
      <c r="B52" s="21" t="s">
        <v>176</v>
      </c>
    </row>
    <row r="53" spans="1:2" ht="14.35">
      <c r="A53" s="19" t="s">
        <v>52</v>
      </c>
      <c r="B53" s="21" t="s">
        <v>198</v>
      </c>
    </row>
    <row r="54" spans="1:2" ht="14.35">
      <c r="A54" s="19" t="s">
        <v>53</v>
      </c>
      <c r="B54" s="21" t="s">
        <v>164</v>
      </c>
    </row>
    <row r="55" spans="1:2" ht="14.35">
      <c r="A55" s="19" t="s">
        <v>54</v>
      </c>
      <c r="B55" s="21" t="s">
        <v>199</v>
      </c>
    </row>
    <row r="56" spans="1:2" ht="14.35">
      <c r="A56" s="19" t="s">
        <v>200</v>
      </c>
      <c r="B56" s="22" t="s">
        <v>176</v>
      </c>
    </row>
    <row r="57" spans="1:2" ht="14.35">
      <c r="A57" s="19" t="s">
        <v>56</v>
      </c>
      <c r="B57" s="21" t="s">
        <v>201</v>
      </c>
    </row>
    <row r="58" spans="1:2" ht="14.35">
      <c r="A58" s="19" t="s">
        <v>57</v>
      </c>
      <c r="B58" s="21" t="s">
        <v>172</v>
      </c>
    </row>
    <row r="59" spans="1:2" ht="14.35">
      <c r="A59" s="19" t="s">
        <v>58</v>
      </c>
      <c r="B59" s="22" t="s">
        <v>176</v>
      </c>
    </row>
    <row r="60" spans="1:2" ht="14.35">
      <c r="A60" s="19" t="s">
        <v>59</v>
      </c>
      <c r="B60" s="21" t="s">
        <v>176</v>
      </c>
    </row>
    <row r="61" spans="1:2" ht="14.35">
      <c r="A61" s="19" t="s">
        <v>60</v>
      </c>
      <c r="B61" s="22" t="s">
        <v>202</v>
      </c>
    </row>
    <row r="62" spans="1:2" ht="14.35">
      <c r="A62" s="19" t="s">
        <v>61</v>
      </c>
      <c r="B62" s="22" t="s">
        <v>203</v>
      </c>
    </row>
    <row r="63" spans="1:2" ht="14.35">
      <c r="A63" s="19" t="s">
        <v>204</v>
      </c>
      <c r="B63" s="21" t="s">
        <v>172</v>
      </c>
    </row>
    <row r="64" spans="1:2" ht="14.35">
      <c r="A64" s="19" t="s">
        <v>63</v>
      </c>
      <c r="B64" s="21" t="s">
        <v>205</v>
      </c>
    </row>
    <row r="65" spans="1:2" ht="14.35">
      <c r="A65" s="19" t="s">
        <v>64</v>
      </c>
      <c r="B65" s="21" t="s">
        <v>206</v>
      </c>
    </row>
    <row r="66" spans="1:2" ht="14.35">
      <c r="A66" s="19" t="s">
        <v>65</v>
      </c>
      <c r="B66" s="21" t="s">
        <v>161</v>
      </c>
    </row>
    <row r="67" spans="1:2" ht="14.35">
      <c r="A67" s="19" t="s">
        <v>66</v>
      </c>
      <c r="B67" s="21" t="s">
        <v>207</v>
      </c>
    </row>
    <row r="68" spans="1:2" ht="14.35">
      <c r="A68" s="19" t="s">
        <v>67</v>
      </c>
      <c r="B68" s="21" t="s">
        <v>173</v>
      </c>
    </row>
    <row r="69" spans="1:2" ht="14.35">
      <c r="A69" s="19" t="s">
        <v>68</v>
      </c>
      <c r="B69" s="21" t="s">
        <v>194</v>
      </c>
    </row>
    <row r="70" spans="1:2" ht="14.35">
      <c r="A70" s="19" t="s">
        <v>69</v>
      </c>
      <c r="B70" s="21" t="s">
        <v>172</v>
      </c>
    </row>
    <row r="71" spans="1:2" ht="14.35">
      <c r="A71" s="19" t="s">
        <v>70</v>
      </c>
      <c r="B71" s="21" t="s">
        <v>208</v>
      </c>
    </row>
    <row r="72" spans="1:2" ht="14.35">
      <c r="A72" s="19" t="s">
        <v>71</v>
      </c>
      <c r="B72" s="22" t="s">
        <v>190</v>
      </c>
    </row>
    <row r="73" spans="1:2" ht="14.35">
      <c r="A73" s="19" t="s">
        <v>72</v>
      </c>
      <c r="B73" s="22" t="s">
        <v>190</v>
      </c>
    </row>
    <row r="74" spans="1:2" ht="14.35">
      <c r="A74" s="19" t="s">
        <v>73</v>
      </c>
      <c r="B74" s="22" t="s">
        <v>209</v>
      </c>
    </row>
    <row r="75" spans="1:2" ht="14.35">
      <c r="A75" s="19" t="s">
        <v>74</v>
      </c>
      <c r="B75" s="22" t="s">
        <v>210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00"/>
  <sheetViews>
    <sheetView showGridLines="0" workbookViewId="0"/>
  </sheetViews>
  <sheetFormatPr defaultColWidth="14.41015625" defaultRowHeight="15" customHeight="1"/>
  <cols>
    <col min="1" max="1" width="2" customWidth="1"/>
    <col min="2" max="2" width="32" customWidth="1"/>
    <col min="3" max="5" width="18" customWidth="1"/>
    <col min="6" max="6" width="38.1171875" customWidth="1"/>
    <col min="7" max="7" width="13.703125" customWidth="1"/>
    <col min="8" max="9" width="14" customWidth="1"/>
    <col min="10" max="26" width="8.703125" customWidth="1"/>
  </cols>
  <sheetData>
    <row r="1" spans="2:9" ht="6" customHeight="1"/>
    <row r="2" spans="2:9" ht="49.5" customHeight="1">
      <c r="B2" s="104" t="s">
        <v>211</v>
      </c>
      <c r="C2" s="101"/>
      <c r="D2" s="101"/>
      <c r="E2" s="101"/>
      <c r="F2" s="101"/>
      <c r="G2" s="101"/>
      <c r="H2" s="101"/>
      <c r="I2" s="98"/>
    </row>
    <row r="3" spans="2:9" ht="6" customHeight="1"/>
    <row r="4" spans="2:9" ht="27.75" customHeight="1">
      <c r="B4" s="105" t="s">
        <v>212</v>
      </c>
      <c r="C4" s="101"/>
      <c r="D4" s="101"/>
      <c r="E4" s="101"/>
      <c r="F4" s="101"/>
      <c r="G4" s="101"/>
      <c r="H4" s="101"/>
      <c r="I4" s="98"/>
    </row>
    <row r="5" spans="2:9" ht="7.5" customHeight="1"/>
    <row r="6" spans="2:9" ht="60" customHeight="1">
      <c r="B6" s="106">
        <f>COUNTA(Data!A2:A61)</f>
        <v>41</v>
      </c>
      <c r="C6" s="98"/>
      <c r="D6" s="107" t="s">
        <v>213</v>
      </c>
      <c r="E6" s="98"/>
      <c r="F6" s="108" t="s">
        <v>213</v>
      </c>
      <c r="G6" s="98"/>
      <c r="H6" s="109" t="s">
        <v>214</v>
      </c>
      <c r="I6" s="98"/>
    </row>
    <row r="7" spans="2:9" ht="39.75" customHeight="1">
      <c r="B7" s="110" t="s">
        <v>215</v>
      </c>
      <c r="C7" s="98"/>
      <c r="D7" s="97" t="s">
        <v>216</v>
      </c>
      <c r="E7" s="98"/>
      <c r="F7" s="99" t="s">
        <v>217</v>
      </c>
      <c r="G7" s="98"/>
      <c r="H7" s="111" t="s">
        <v>218</v>
      </c>
      <c r="I7" s="98"/>
    </row>
    <row r="8" spans="2:9" ht="12" customHeight="1"/>
    <row r="9" spans="2:9" ht="24" customHeight="1">
      <c r="B9" s="100" t="s">
        <v>219</v>
      </c>
      <c r="C9" s="101"/>
      <c r="D9" s="101"/>
      <c r="E9" s="98"/>
      <c r="F9" s="102" t="s">
        <v>220</v>
      </c>
      <c r="G9" s="101"/>
      <c r="H9" s="101"/>
      <c r="I9" s="98"/>
    </row>
    <row r="10" spans="2:9" ht="19.5" customHeight="1">
      <c r="B10" s="24" t="s">
        <v>221</v>
      </c>
      <c r="C10" s="24" t="s">
        <v>222</v>
      </c>
      <c r="D10" s="24" t="s">
        <v>223</v>
      </c>
      <c r="E10" s="24"/>
      <c r="F10" s="25" t="s">
        <v>224</v>
      </c>
      <c r="G10" s="25" t="s">
        <v>0</v>
      </c>
      <c r="H10" s="25" t="s">
        <v>225</v>
      </c>
      <c r="I10" s="25" t="s">
        <v>226</v>
      </c>
    </row>
    <row r="11" spans="2:9" ht="14.35">
      <c r="B11" s="26" t="s">
        <v>43</v>
      </c>
      <c r="C11" s="27">
        <v>19</v>
      </c>
      <c r="D11" s="28" t="s">
        <v>227</v>
      </c>
      <c r="E11" s="27"/>
      <c r="F11" s="29" t="str">
        <f>Data!A36</f>
        <v>UCC-WI, Northern Region</v>
      </c>
      <c r="G11" s="29" t="str">
        <f>Data!B36</f>
        <v>vacant</v>
      </c>
      <c r="H11" s="30" t="str">
        <f>Data!C36</f>
        <v>—</v>
      </c>
      <c r="I11" s="30">
        <f>Data!D36</f>
        <v>34</v>
      </c>
    </row>
    <row r="12" spans="2:9" ht="14.35">
      <c r="B12" s="31" t="s">
        <v>15</v>
      </c>
      <c r="C12" s="32">
        <v>15</v>
      </c>
      <c r="D12" s="33" t="s">
        <v>227</v>
      </c>
      <c r="E12" s="32"/>
      <c r="F12" s="34" t="str">
        <f>Data!A30</f>
        <v>PC(USA), Winnebago Presbytery</v>
      </c>
      <c r="G12" s="34" t="str">
        <f>Data!B30</f>
        <v>Rev. Dave Colby</v>
      </c>
      <c r="H12" s="35" t="str">
        <f>Data!C30</f>
        <v>—</v>
      </c>
      <c r="I12" s="35">
        <f>Data!D30</f>
        <v>23</v>
      </c>
    </row>
    <row r="13" spans="2:9" ht="14.35">
      <c r="B13" s="26" t="s">
        <v>25</v>
      </c>
      <c r="C13" s="27">
        <v>13</v>
      </c>
      <c r="D13" s="36" t="s">
        <v>228</v>
      </c>
      <c r="E13" s="27"/>
      <c r="F13" s="29" t="str">
        <f>Data!A38</f>
        <v>UMC - WI, North East District</v>
      </c>
      <c r="G13" s="29" t="str">
        <f>Data!B38</f>
        <v>Rev. M. Park Hunter</v>
      </c>
      <c r="H13" s="30" t="str">
        <f>Data!C38</f>
        <v>—</v>
      </c>
      <c r="I13" s="30">
        <f>Data!D38</f>
        <v>23</v>
      </c>
    </row>
    <row r="14" spans="2:9" ht="14.35">
      <c r="B14" s="31" t="s">
        <v>69</v>
      </c>
      <c r="C14" s="32">
        <v>13</v>
      </c>
      <c r="D14" s="37" t="s">
        <v>228</v>
      </c>
      <c r="E14" s="32"/>
      <c r="F14" s="34" t="str">
        <f>Data!A38</f>
        <v>UMC - WI, North East District</v>
      </c>
      <c r="G14" s="34" t="str">
        <f>Data!B38</f>
        <v>Rev. M. Park Hunter</v>
      </c>
      <c r="H14" s="35" t="str">
        <f>Data!C38</f>
        <v>—</v>
      </c>
      <c r="I14" s="35">
        <f>Data!D38</f>
        <v>23</v>
      </c>
    </row>
    <row r="15" spans="2:9" ht="14.35">
      <c r="B15" s="26" t="s">
        <v>13</v>
      </c>
      <c r="C15" s="27">
        <v>12</v>
      </c>
      <c r="D15" s="36" t="s">
        <v>228</v>
      </c>
      <c r="E15" s="27"/>
      <c r="F15" s="29" t="str">
        <f>Data!A35</f>
        <v>UCC-WI, Eastern Region</v>
      </c>
      <c r="G15" s="29" t="str">
        <f>Data!B35</f>
        <v>Rev. Jane Anderson</v>
      </c>
      <c r="H15" s="30" t="str">
        <f>Data!C35</f>
        <v>—</v>
      </c>
      <c r="I15" s="30">
        <f>Data!D35</f>
        <v>21</v>
      </c>
    </row>
    <row r="16" spans="2:9" ht="20.7">
      <c r="B16" s="31" t="s">
        <v>16</v>
      </c>
      <c r="C16" s="32">
        <v>12</v>
      </c>
      <c r="D16" s="37" t="s">
        <v>228</v>
      </c>
      <c r="E16" s="32"/>
      <c r="F16" s="34" t="str">
        <f>Data!A37</f>
        <v>UCC-WI, Southern Region</v>
      </c>
      <c r="G16" s="34" t="str">
        <f>Data!B37</f>
        <v>Rev. Rachel Bauman</v>
      </c>
      <c r="H16" s="35" t="str">
        <f>Data!C37</f>
        <v>—</v>
      </c>
      <c r="I16" s="35">
        <f>Data!D37</f>
        <v>21</v>
      </c>
    </row>
    <row r="17" spans="2:9" ht="14.35">
      <c r="B17" s="26" t="s">
        <v>54</v>
      </c>
      <c r="C17" s="27">
        <v>12</v>
      </c>
      <c r="D17" s="36" t="s">
        <v>228</v>
      </c>
      <c r="E17" s="27"/>
      <c r="F17" s="29" t="str">
        <f>Data!A29</f>
        <v>PC(USA), Northern Waters Presbytery</v>
      </c>
      <c r="G17" s="29" t="str">
        <f>Data!B29</f>
        <v>Rev. Richard Blood</v>
      </c>
      <c r="H17" s="30" t="str">
        <f>Data!C29</f>
        <v>—</v>
      </c>
      <c r="I17" s="30">
        <f>Data!D29</f>
        <v>20</v>
      </c>
    </row>
    <row r="18" spans="2:9" ht="20.7">
      <c r="B18" s="31" t="s">
        <v>56</v>
      </c>
      <c r="C18" s="32">
        <v>12</v>
      </c>
      <c r="D18" s="37" t="s">
        <v>228</v>
      </c>
      <c r="E18" s="32"/>
      <c r="F18" s="34" t="str">
        <f>Data!A2</f>
        <v>African Methodist Episcopal Church, 4th District</v>
      </c>
      <c r="G18" s="34" t="str">
        <f>Data!B2</f>
        <v>Presiding Elder James Miller</v>
      </c>
      <c r="H18" s="35" t="str">
        <f>Data!C2</f>
        <v>ALL</v>
      </c>
      <c r="I18" s="35">
        <f>Data!D2</f>
        <v>19</v>
      </c>
    </row>
    <row r="19" spans="2:9" ht="20.7">
      <c r="B19" s="26" t="s">
        <v>24</v>
      </c>
      <c r="C19" s="27">
        <v>11</v>
      </c>
      <c r="D19" s="36" t="s">
        <v>228</v>
      </c>
      <c r="E19" s="27"/>
      <c r="F19" s="29" t="str">
        <f>Data!A3</f>
        <v>American Baptist Churches of Wisconsin</v>
      </c>
      <c r="G19" s="29" t="str">
        <f>Data!B3</f>
        <v>Rev. Mindi Welton-Mitchell</v>
      </c>
      <c r="H19" s="30" t="str">
        <f>Data!C3</f>
        <v>ALL</v>
      </c>
      <c r="I19" s="30">
        <f>Data!D3</f>
        <v>19</v>
      </c>
    </row>
    <row r="20" spans="2:9" ht="20.7">
      <c r="B20" s="31" t="s">
        <v>32</v>
      </c>
      <c r="C20" s="32">
        <v>11</v>
      </c>
      <c r="D20" s="37" t="s">
        <v>228</v>
      </c>
      <c r="E20" s="32"/>
      <c r="F20" s="34" t="str">
        <f>Data!A15</f>
        <v>ELCA East-Central Synod</v>
      </c>
      <c r="G20" s="34" t="str">
        <f>Data!B15</f>
        <v>Bishop Anne Edison Albright</v>
      </c>
      <c r="H20" s="35" t="str">
        <f>Data!C15</f>
        <v>—</v>
      </c>
      <c r="I20" s="35">
        <f>Data!D15</f>
        <v>19</v>
      </c>
    </row>
    <row r="21" spans="2:9" ht="20.7">
      <c r="B21" s="26" t="s">
        <v>48</v>
      </c>
      <c r="C21" s="27">
        <v>11</v>
      </c>
      <c r="D21" s="36" t="s">
        <v>228</v>
      </c>
      <c r="E21" s="27"/>
      <c r="F21" s="29" t="str">
        <f>Data!A19</f>
        <v>ELCA Northwest Synod</v>
      </c>
      <c r="G21" s="29" t="str">
        <f>Data!B19</f>
        <v>Bishop Martin Halom</v>
      </c>
      <c r="H21" s="30" t="str">
        <f>Data!C19</f>
        <v>—</v>
      </c>
      <c r="I21" s="30">
        <f>Data!D19</f>
        <v>19</v>
      </c>
    </row>
    <row r="22" spans="2:9" ht="20.7">
      <c r="B22" s="31" t="s">
        <v>55</v>
      </c>
      <c r="C22" s="32">
        <v>11</v>
      </c>
      <c r="D22" s="37" t="s">
        <v>228</v>
      </c>
      <c r="E22" s="32"/>
      <c r="F22" s="34" t="str">
        <f>Data!A23</f>
        <v>Mennonite Church USA, Central District Conference</v>
      </c>
      <c r="G22" s="34" t="str">
        <f>Data!B23</f>
        <v>Rev. Valerie Showalter at MMC</v>
      </c>
      <c r="H22" s="35" t="str">
        <f>Data!C23</f>
        <v>—</v>
      </c>
      <c r="I22" s="35">
        <f>Data!D23</f>
        <v>2</v>
      </c>
    </row>
    <row r="23" spans="2:9" ht="14.35">
      <c r="B23" s="26" t="s">
        <v>67</v>
      </c>
      <c r="C23" s="27">
        <v>11</v>
      </c>
      <c r="D23" s="36" t="s">
        <v>228</v>
      </c>
      <c r="E23" s="27"/>
      <c r="F23" s="29" t="str">
        <f>Data!A25</f>
        <v>Moravian Church, Western District</v>
      </c>
      <c r="G23" s="29" t="str">
        <f>Data!B25</f>
        <v>Jason Andersen</v>
      </c>
      <c r="H23" s="30" t="str">
        <f>Data!C25</f>
        <v>ALL</v>
      </c>
      <c r="I23" s="30">
        <f>Data!D25</f>
        <v>19</v>
      </c>
    </row>
    <row r="24" spans="2:9" ht="14.35">
      <c r="B24" s="31" t="s">
        <v>14</v>
      </c>
      <c r="C24" s="32">
        <v>10</v>
      </c>
      <c r="D24" s="37" t="s">
        <v>228</v>
      </c>
      <c r="E24" s="32"/>
      <c r="F24" s="34" t="str">
        <f>Data!A26</f>
        <v>Orthodox Church in America, Diocese of the Midwest</v>
      </c>
      <c r="G24" s="34" t="str">
        <f>Data!B26</f>
        <v>Fr. Elijah Mueller</v>
      </c>
      <c r="H24" s="35" t="str">
        <f>Data!C26</f>
        <v>ALL</v>
      </c>
      <c r="I24" s="35">
        <f>Data!D26</f>
        <v>19</v>
      </c>
    </row>
    <row r="25" spans="2:9" ht="14.35">
      <c r="B25" s="26" t="s">
        <v>27</v>
      </c>
      <c r="C25" s="27">
        <v>10</v>
      </c>
      <c r="D25" s="36" t="s">
        <v>228</v>
      </c>
      <c r="E25" s="27"/>
      <c r="F25" s="29" t="str">
        <f>Data!A33</f>
        <v>Roman Catholic Diocese of LaCrosse</v>
      </c>
      <c r="G25" s="29" t="str">
        <f>Data!B33</f>
        <v>Bishop Battersby</v>
      </c>
      <c r="H25" s="30" t="str">
        <f>Data!C33</f>
        <v>—</v>
      </c>
      <c r="I25" s="30">
        <f>Data!D33</f>
        <v>19</v>
      </c>
    </row>
    <row r="26" spans="2:9" ht="15.75" customHeight="1"/>
    <row r="27" spans="2:9" ht="9.75" customHeight="1"/>
    <row r="28" spans="2:9" ht="19.5" customHeight="1">
      <c r="B28" s="103" t="s">
        <v>229</v>
      </c>
      <c r="C28" s="101"/>
      <c r="D28" s="101"/>
      <c r="E28" s="101"/>
      <c r="F28" s="101"/>
      <c r="G28" s="101"/>
      <c r="H28" s="101"/>
      <c r="I28" s="98"/>
    </row>
    <row r="29" spans="2:9" ht="15.75" customHeight="1"/>
    <row r="30" spans="2:9" ht="15.75" customHeight="1"/>
    <row r="31" spans="2:9" ht="15.75" customHeight="1"/>
    <row r="32" spans="2:9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3">
    <mergeCell ref="B2:I2"/>
    <mergeCell ref="B4:I4"/>
    <mergeCell ref="B6:C6"/>
    <mergeCell ref="D6:E6"/>
    <mergeCell ref="F6:G6"/>
    <mergeCell ref="H6:I6"/>
    <mergeCell ref="D7:E7"/>
    <mergeCell ref="F7:G7"/>
    <mergeCell ref="B9:E9"/>
    <mergeCell ref="F9:I9"/>
    <mergeCell ref="B28:I28"/>
    <mergeCell ref="B7:C7"/>
    <mergeCell ref="H7:I7"/>
  </mergeCells>
  <pageMargins left="0.75" right="0.75" top="1" bottom="1" header="0" footer="0"/>
  <pageSetup paperSize="9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BL100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4.41015625" defaultRowHeight="15" customHeight="1"/>
  <cols>
    <col min="1" max="1" width="2" customWidth="1"/>
    <col min="2" max="2" width="20" customWidth="1"/>
    <col min="3" max="3" width="14" customWidth="1"/>
    <col min="4" max="63" width="5" customWidth="1"/>
    <col min="64" max="64" width="8.703125" customWidth="1"/>
  </cols>
  <sheetData>
    <row r="1" spans="2:64" ht="6" customHeight="1"/>
    <row r="2" spans="2:64" ht="45" customHeight="1">
      <c r="B2" s="112" t="s">
        <v>230</v>
      </c>
      <c r="C2" s="101"/>
      <c r="D2" s="101"/>
      <c r="E2" s="101"/>
      <c r="F2" s="101"/>
      <c r="G2" s="101"/>
      <c r="H2" s="101"/>
      <c r="I2" s="101"/>
      <c r="J2" s="101"/>
      <c r="K2" s="101"/>
      <c r="L2" s="101"/>
      <c r="M2" s="101"/>
      <c r="N2" s="101"/>
      <c r="O2" s="101"/>
      <c r="P2" s="101"/>
      <c r="Q2" s="101"/>
      <c r="R2" s="101"/>
      <c r="S2" s="101"/>
      <c r="T2" s="101"/>
      <c r="U2" s="101"/>
      <c r="V2" s="101"/>
      <c r="W2" s="101"/>
      <c r="X2" s="101"/>
      <c r="Y2" s="101"/>
      <c r="Z2" s="101"/>
      <c r="AA2" s="101"/>
      <c r="AB2" s="101"/>
      <c r="AC2" s="101"/>
      <c r="AD2" s="101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  <c r="AW2" s="101"/>
      <c r="AX2" s="101"/>
      <c r="AY2" s="101"/>
      <c r="AZ2" s="101"/>
      <c r="BA2" s="101"/>
      <c r="BB2" s="101"/>
      <c r="BC2" s="101"/>
      <c r="BD2" s="101"/>
      <c r="BE2" s="101"/>
      <c r="BF2" s="101"/>
      <c r="BG2" s="101"/>
      <c r="BH2" s="101"/>
      <c r="BI2" s="101"/>
      <c r="BJ2" s="101"/>
      <c r="BK2" s="101"/>
      <c r="BL2" s="98"/>
    </row>
    <row r="3" spans="2:64" ht="6" customHeight="1"/>
    <row r="4" spans="2:64" ht="99.75" customHeight="1">
      <c r="B4" s="38" t="s">
        <v>221</v>
      </c>
      <c r="C4" s="38" t="s">
        <v>231</v>
      </c>
      <c r="D4" s="39" t="str">
        <f>Data!A2</f>
        <v>African Methodist Episcopal Church, 4th District</v>
      </c>
      <c r="E4" s="40" t="str">
        <f>Data!A3</f>
        <v>American Baptist Churches of Wisconsin</v>
      </c>
      <c r="F4" s="39" t="str">
        <f>Data!A4</f>
        <v>Armenian Orthodox Church, Eastern Diocese</v>
      </c>
      <c r="G4" s="40" t="str">
        <f>Data!A5</f>
        <v>Christian Church (Disciples of Christ) in Illinois and Wisconsin</v>
      </c>
      <c r="H4" s="39" t="str">
        <f>Data!A6</f>
        <v>Christian Methodist Episcopal Church, Third Episcopal District</v>
      </c>
      <c r="I4" s="40" t="str">
        <f>Data!A7</f>
        <v>Church of Jesus Christ of Latter-Day Saints</v>
      </c>
      <c r="J4" s="39" t="str">
        <f>Data!A8</f>
        <v>Church of the Brethren, Illinois and Wisconsin District</v>
      </c>
      <c r="K4" s="40" t="str">
        <f>Data!A9</f>
        <v>COGIC, Wisconsin First Jurisdiction</v>
      </c>
      <c r="L4" s="39" t="str">
        <f>Data!A10</f>
        <v>COGIC, Wisconsin Northwest Jurisdiction</v>
      </c>
      <c r="M4" s="40" t="str">
        <f>Data!A11</f>
        <v>COGIC, Wisconsin Third Jurisdiction</v>
      </c>
      <c r="N4" s="39" t="str">
        <f>Data!A12</f>
        <v>Community of Christ Headwaters Mission Center</v>
      </c>
      <c r="O4" s="40" t="str">
        <f>Data!A13</f>
        <v>Coptic Orthodox Church</v>
      </c>
      <c r="P4" s="39" t="str">
        <f>Data!A14</f>
        <v>Ecumenical Catholic Communion</v>
      </c>
      <c r="Q4" s="40" t="str">
        <f>Data!A15</f>
        <v>ELCA East-Central Synod</v>
      </c>
      <c r="R4" s="39" t="str">
        <f>Data!A16</f>
        <v>ELCA Greater Milwaukee Synod</v>
      </c>
      <c r="S4" s="40" t="str">
        <f>Data!A17</f>
        <v>ELCA LaCrosse Area Synod</v>
      </c>
      <c r="T4" s="39" t="str">
        <f>Data!A18</f>
        <v>ELCA Northern Great Lakes Synod</v>
      </c>
      <c r="U4" s="40" t="str">
        <f>Data!A19</f>
        <v>ELCA Northwest Synod</v>
      </c>
      <c r="V4" s="39" t="str">
        <f>Data!A20</f>
        <v>ELCA South-Central Synod</v>
      </c>
      <c r="W4" s="40" t="str">
        <f>Data!A21</f>
        <v>Greek Orthodox Church, Diocese of Chicago</v>
      </c>
      <c r="X4" s="39" t="str">
        <f>Data!A22</f>
        <v>Life Center Madison</v>
      </c>
      <c r="Y4" s="40" t="str">
        <f>Data!A23</f>
        <v>Mennonite Church USA, Central District Conference</v>
      </c>
      <c r="Z4" s="39" t="str">
        <f>Data!A24</f>
        <v>Metropolitan Community Churches</v>
      </c>
      <c r="AA4" s="40" t="str">
        <f>Data!A25</f>
        <v>Moravian Church, Western District</v>
      </c>
      <c r="AB4" s="39" t="str">
        <f>Data!A26</f>
        <v>Orthodox Church in America, Diocese of the Midwest</v>
      </c>
      <c r="AC4" s="40" t="str">
        <f>Data!A27</f>
        <v>PC(USA), John Knox Presbytery</v>
      </c>
      <c r="AD4" s="39" t="str">
        <f>Data!A28</f>
        <v>PC(USA), Milwaukee Presbytery</v>
      </c>
      <c r="AE4" s="40" t="str">
        <f>Data!A29</f>
        <v>PC(USA), Northern Waters Presbytery</v>
      </c>
      <c r="AF4" s="39" t="str">
        <f>Data!A30</f>
        <v>PC(USA), Winnebago Presbytery</v>
      </c>
      <c r="AG4" s="40" t="str">
        <f>Data!A31</f>
        <v>Roman Catholic Archdiocese of Milwaukee</v>
      </c>
      <c r="AH4" s="39" t="str">
        <f>Data!A32</f>
        <v>Roman Catholic Diocese of Green Bay</v>
      </c>
      <c r="AI4" s="40" t="str">
        <f>Data!A33</f>
        <v>Roman Catholic Diocese of LaCrosse</v>
      </c>
      <c r="AJ4" s="39" t="str">
        <f>Data!A34</f>
        <v>The Episcopal Diocese of Wisconsin</v>
      </c>
      <c r="AK4" s="40" t="str">
        <f>Data!A35</f>
        <v>UCC-WI, Eastern Region</v>
      </c>
      <c r="AL4" s="39" t="str">
        <f>Data!A36</f>
        <v>UCC-WI, Northern Region</v>
      </c>
      <c r="AM4" s="40" t="str">
        <f>Data!A37</f>
        <v>UCC-WI, Southern Region</v>
      </c>
      <c r="AN4" s="39" t="str">
        <f>Data!A38</f>
        <v>UMC - WI, North East District</v>
      </c>
      <c r="AO4" s="40" t="str">
        <f>Data!A39</f>
        <v>UMC - WI, North West District</v>
      </c>
      <c r="AP4" s="39" t="str">
        <f>Data!A40</f>
        <v>UMC - WI, South East District</v>
      </c>
      <c r="AQ4" s="40" t="str">
        <f>Data!A41</f>
        <v>UMC - WI, South West District</v>
      </c>
      <c r="AR4" s="39" t="str">
        <f>Data!A42</f>
        <v>UMC- Boo</v>
      </c>
      <c r="AS4" s="40">
        <f>Data!A43</f>
        <v>0</v>
      </c>
      <c r="AT4" s="39">
        <f>Data!A44</f>
        <v>0</v>
      </c>
      <c r="AU4" s="40">
        <f>Data!A45</f>
        <v>0</v>
      </c>
      <c r="AV4" s="39">
        <f>Data!A46</f>
        <v>0</v>
      </c>
      <c r="AW4" s="40">
        <f>Data!A47</f>
        <v>0</v>
      </c>
      <c r="AX4" s="39">
        <f>Data!A48</f>
        <v>0</v>
      </c>
      <c r="AY4" s="40">
        <f>Data!A49</f>
        <v>0</v>
      </c>
      <c r="AZ4" s="39">
        <f>Data!A50</f>
        <v>0</v>
      </c>
      <c r="BA4" s="40">
        <f>Data!A51</f>
        <v>0</v>
      </c>
      <c r="BB4" s="39">
        <f>Data!A52</f>
        <v>0</v>
      </c>
      <c r="BC4" s="40">
        <f>Data!A53</f>
        <v>0</v>
      </c>
      <c r="BD4" s="39">
        <f>Data!A54</f>
        <v>0</v>
      </c>
      <c r="BE4" s="40">
        <f>Data!A55</f>
        <v>0</v>
      </c>
      <c r="BF4" s="39">
        <f>Data!A56</f>
        <v>0</v>
      </c>
      <c r="BG4" s="40">
        <f>Data!A57</f>
        <v>0</v>
      </c>
      <c r="BH4" s="39">
        <f>Data!A58</f>
        <v>0</v>
      </c>
      <c r="BI4" s="40">
        <f>Data!A59</f>
        <v>0</v>
      </c>
      <c r="BJ4" s="39">
        <f>Data!A60</f>
        <v>0</v>
      </c>
      <c r="BK4" s="40">
        <f>Data!A61</f>
        <v>0</v>
      </c>
    </row>
    <row r="5" spans="2:64" ht="15.75" customHeight="1">
      <c r="B5" s="41" t="s">
        <v>3</v>
      </c>
      <c r="C5" s="42">
        <f>COUNTIF(Data!E2:E61,"x")</f>
        <v>6</v>
      </c>
      <c r="D5" s="43" t="str">
        <f>IF(Data!E2="x","✓","")</f>
        <v/>
      </c>
      <c r="E5" s="43" t="str">
        <f>IF(Data!E3="x","✓","")</f>
        <v/>
      </c>
      <c r="F5" s="43" t="str">
        <f>IF(Data!E4="x","✓","")</f>
        <v/>
      </c>
      <c r="G5" s="43" t="str">
        <f>IF(Data!E5="x","✓","")</f>
        <v/>
      </c>
      <c r="H5" s="43" t="str">
        <f>IF(Data!E6="x","✓","")</f>
        <v/>
      </c>
      <c r="I5" s="43" t="str">
        <f>IF(Data!E7="x","✓","")</f>
        <v/>
      </c>
      <c r="J5" s="43" t="str">
        <f>IF(Data!E8="x","✓","")</f>
        <v/>
      </c>
      <c r="K5" s="43" t="str">
        <f>IF(Data!E9="x","✓","")</f>
        <v/>
      </c>
      <c r="L5" s="43" t="str">
        <f>IF(Data!E10="x","✓","")</f>
        <v/>
      </c>
      <c r="M5" s="43" t="str">
        <f>IF(Data!E11="x","✓","")</f>
        <v/>
      </c>
      <c r="N5" s="43" t="str">
        <f>IF(Data!E12="x","✓","")</f>
        <v/>
      </c>
      <c r="O5" s="43" t="str">
        <f>IF(Data!E13="x","✓","")</f>
        <v/>
      </c>
      <c r="P5" s="43" t="str">
        <f>IF(Data!E14="x","✓","")</f>
        <v/>
      </c>
      <c r="Q5" s="43" t="str">
        <f>IF(Data!E15="x","✓","")</f>
        <v/>
      </c>
      <c r="R5" s="43" t="str">
        <f>IF(Data!E16="x","✓","")</f>
        <v/>
      </c>
      <c r="S5" s="44" t="str">
        <f>IF(Data!E17="x","✓","")</f>
        <v>✓</v>
      </c>
      <c r="T5" s="43" t="str">
        <f>IF(Data!E18="x","✓","")</f>
        <v/>
      </c>
      <c r="U5" s="43" t="str">
        <f>IF(Data!E19="x","✓","")</f>
        <v/>
      </c>
      <c r="V5" s="43" t="str">
        <f>IF(Data!E20="x","✓","")</f>
        <v/>
      </c>
      <c r="W5" s="43" t="str">
        <f>IF(Data!E21="x","✓","")</f>
        <v/>
      </c>
      <c r="X5" s="43" t="str">
        <f>IF(Data!E22="x","✓","")</f>
        <v/>
      </c>
      <c r="Y5" s="43" t="str">
        <f>IF(Data!E23="x","✓","")</f>
        <v/>
      </c>
      <c r="Z5" s="43" t="str">
        <f>IF(Data!E24="x","✓","")</f>
        <v/>
      </c>
      <c r="AA5" s="43" t="str">
        <f>IF(Data!E25="x","✓","")</f>
        <v/>
      </c>
      <c r="AB5" s="43" t="str">
        <f>IF(Data!E26="x","✓","")</f>
        <v/>
      </c>
      <c r="AC5" s="44" t="str">
        <f>IF(Data!E27="x","✓","")</f>
        <v>✓</v>
      </c>
      <c r="AD5" s="43" t="str">
        <f>IF(Data!E28="x","✓","")</f>
        <v/>
      </c>
      <c r="AE5" s="43" t="str">
        <f>IF(Data!E29="x","✓","")</f>
        <v/>
      </c>
      <c r="AF5" s="43" t="str">
        <f>IF(Data!E30="x","✓","")</f>
        <v/>
      </c>
      <c r="AG5" s="43" t="str">
        <f>IF(Data!E31="x","✓","")</f>
        <v/>
      </c>
      <c r="AH5" s="43" t="str">
        <f>IF(Data!E32="x","✓","")</f>
        <v/>
      </c>
      <c r="AI5" s="44" t="str">
        <f>IF(Data!E33="x","✓","")</f>
        <v>✓</v>
      </c>
      <c r="AJ5" s="43" t="str">
        <f>IF(Data!E34="x","✓","")</f>
        <v/>
      </c>
      <c r="AK5" s="43" t="str">
        <f>IF(Data!E35="x","✓","")</f>
        <v/>
      </c>
      <c r="AL5" s="43" t="str">
        <f>IF(Data!E36="x","✓","")</f>
        <v/>
      </c>
      <c r="AM5" s="44" t="str">
        <f>IF(Data!E37="x","✓","")</f>
        <v>✓</v>
      </c>
      <c r="AN5" s="43" t="str">
        <f>IF(Data!E38="x","✓","")</f>
        <v/>
      </c>
      <c r="AO5" s="43" t="str">
        <f>IF(Data!E39="x","✓","")</f>
        <v/>
      </c>
      <c r="AP5" s="43" t="str">
        <f>IF(Data!E40="x","✓","")</f>
        <v/>
      </c>
      <c r="AQ5" s="44" t="str">
        <f>IF(Data!E41="x","✓","")</f>
        <v>✓</v>
      </c>
      <c r="AR5" s="43" t="str">
        <f>IF(Data!E42="x","✓","")</f>
        <v>✓</v>
      </c>
      <c r="AS5" s="43" t="str">
        <f>IF(Data!E43="x","✓","")</f>
        <v/>
      </c>
      <c r="AT5" s="43" t="str">
        <f>IF(Data!E44="x","✓","")</f>
        <v/>
      </c>
      <c r="AU5" s="43" t="str">
        <f>IF(Data!E45="x","✓","")</f>
        <v/>
      </c>
      <c r="AV5" s="43" t="str">
        <f>IF(Data!E46="x","✓","")</f>
        <v/>
      </c>
      <c r="AW5" s="43" t="str">
        <f>IF(Data!E47="x","✓","")</f>
        <v/>
      </c>
      <c r="AX5" s="43" t="str">
        <f>IF(Data!E48="x","✓","")</f>
        <v/>
      </c>
      <c r="AY5" s="43" t="str">
        <f>IF(Data!E49="x","✓","")</f>
        <v/>
      </c>
      <c r="AZ5" s="43" t="str">
        <f>IF(Data!E50="x","✓","")</f>
        <v/>
      </c>
      <c r="BA5" s="43" t="str">
        <f>IF(Data!E51="x","✓","")</f>
        <v/>
      </c>
      <c r="BB5" s="43" t="str">
        <f>IF(Data!E52="x","✓","")</f>
        <v/>
      </c>
      <c r="BC5" s="43" t="str">
        <f>IF(Data!E53="x","✓","")</f>
        <v/>
      </c>
      <c r="BD5" s="43" t="str">
        <f>IF(Data!E54="x","✓","")</f>
        <v/>
      </c>
      <c r="BE5" s="43" t="str">
        <f>IF(Data!E55="x","✓","")</f>
        <v/>
      </c>
      <c r="BF5" s="43" t="str">
        <f>IF(Data!E56="x","✓","")</f>
        <v/>
      </c>
      <c r="BG5" s="43" t="str">
        <f>IF(Data!E57="x","✓","")</f>
        <v/>
      </c>
      <c r="BH5" s="43" t="str">
        <f>IF(Data!E58="x","✓","")</f>
        <v/>
      </c>
      <c r="BI5" s="43" t="str">
        <f>IF(Data!E59="x","✓","")</f>
        <v/>
      </c>
      <c r="BJ5" s="43" t="str">
        <f>IF(Data!E60="x","✓","")</f>
        <v/>
      </c>
      <c r="BK5" s="43" t="str">
        <f>IF(Data!E61="x","✓","")</f>
        <v/>
      </c>
    </row>
    <row r="6" spans="2:64" ht="15.75" customHeight="1">
      <c r="B6" s="45" t="s">
        <v>4</v>
      </c>
      <c r="C6" s="42">
        <f>COUNTIF(Data!F2:F61,"x")</f>
        <v>6</v>
      </c>
      <c r="D6" s="46" t="str">
        <f>IF(Data!F2="x","✓","")</f>
        <v/>
      </c>
      <c r="E6" s="46" t="str">
        <f>IF(Data!F3="x","✓","")</f>
        <v/>
      </c>
      <c r="F6" s="46" t="str">
        <f>IF(Data!F4="x","✓","")</f>
        <v/>
      </c>
      <c r="G6" s="46" t="str">
        <f>IF(Data!F5="x","✓","")</f>
        <v/>
      </c>
      <c r="H6" s="46" t="str">
        <f>IF(Data!F6="x","✓","")</f>
        <v/>
      </c>
      <c r="I6" s="46" t="str">
        <f>IF(Data!F7="x","✓","")</f>
        <v/>
      </c>
      <c r="J6" s="46" t="str">
        <f>IF(Data!F8="x","✓","")</f>
        <v/>
      </c>
      <c r="K6" s="46" t="str">
        <f>IF(Data!F9="x","✓","")</f>
        <v/>
      </c>
      <c r="L6" s="46" t="str">
        <f>IF(Data!F10="x","✓","")</f>
        <v/>
      </c>
      <c r="M6" s="46" t="str">
        <f>IF(Data!F11="x","✓","")</f>
        <v/>
      </c>
      <c r="N6" s="46" t="str">
        <f>IF(Data!F12="x","✓","")</f>
        <v/>
      </c>
      <c r="O6" s="46" t="str">
        <f>IF(Data!F13="x","✓","")</f>
        <v/>
      </c>
      <c r="P6" s="46" t="str">
        <f>IF(Data!F14="x","✓","")</f>
        <v/>
      </c>
      <c r="Q6" s="46" t="str">
        <f>IF(Data!F15="x","✓","")</f>
        <v/>
      </c>
      <c r="R6" s="46" t="str">
        <f>IF(Data!F16="x","✓","")</f>
        <v/>
      </c>
      <c r="S6" s="46" t="str">
        <f>IF(Data!F17="x","✓","")</f>
        <v/>
      </c>
      <c r="T6" s="46" t="str">
        <f>IF(Data!F18="x","✓","")</f>
        <v/>
      </c>
      <c r="U6" s="44" t="str">
        <f>IF(Data!F19="x","✓","")</f>
        <v>✓</v>
      </c>
      <c r="V6" s="46" t="str">
        <f>IF(Data!F20="x","✓","")</f>
        <v/>
      </c>
      <c r="W6" s="46" t="str">
        <f>IF(Data!F21="x","✓","")</f>
        <v/>
      </c>
      <c r="X6" s="46" t="str">
        <f>IF(Data!F22="x","✓","")</f>
        <v/>
      </c>
      <c r="Y6" s="46" t="str">
        <f>IF(Data!F23="x","✓","")</f>
        <v/>
      </c>
      <c r="Z6" s="46" t="str">
        <f>IF(Data!F24="x","✓","")</f>
        <v/>
      </c>
      <c r="AA6" s="46" t="str">
        <f>IF(Data!F25="x","✓","")</f>
        <v/>
      </c>
      <c r="AB6" s="46" t="str">
        <f>IF(Data!F26="x","✓","")</f>
        <v/>
      </c>
      <c r="AC6" s="46" t="str">
        <f>IF(Data!F27="x","✓","")</f>
        <v/>
      </c>
      <c r="AD6" s="46" t="str">
        <f>IF(Data!F28="x","✓","")</f>
        <v/>
      </c>
      <c r="AE6" s="44" t="str">
        <f>IF(Data!F29="x","✓","")</f>
        <v>✓</v>
      </c>
      <c r="AF6" s="46" t="str">
        <f>IF(Data!F30="x","✓","")</f>
        <v/>
      </c>
      <c r="AG6" s="46" t="str">
        <f>IF(Data!F31="x","✓","")</f>
        <v/>
      </c>
      <c r="AH6" s="46" t="str">
        <f>IF(Data!F32="x","✓","")</f>
        <v/>
      </c>
      <c r="AI6" s="46" t="str">
        <f>IF(Data!F33="x","✓","")</f>
        <v/>
      </c>
      <c r="AJ6" s="46" t="str">
        <f>IF(Data!F34="x","✓","")</f>
        <v/>
      </c>
      <c r="AK6" s="46" t="str">
        <f>IF(Data!F35="x","✓","")</f>
        <v/>
      </c>
      <c r="AL6" s="47" t="str">
        <f>IF(Data!F36="x","✓","")</f>
        <v>✓</v>
      </c>
      <c r="AM6" s="46" t="str">
        <f>IF(Data!F37="x","✓","")</f>
        <v/>
      </c>
      <c r="AN6" s="47" t="str">
        <f>IF(Data!F38="x","✓","")</f>
        <v>✓</v>
      </c>
      <c r="AO6" s="44" t="str">
        <f>IF(Data!F39="x","✓","")</f>
        <v>✓</v>
      </c>
      <c r="AP6" s="46" t="str">
        <f>IF(Data!F40="x","✓","")</f>
        <v/>
      </c>
      <c r="AQ6" s="46" t="str">
        <f>IF(Data!F41="x","✓","")</f>
        <v/>
      </c>
      <c r="AR6" s="46" t="str">
        <f>IF(Data!F42="x","✓","")</f>
        <v>✓</v>
      </c>
      <c r="AS6" s="46" t="str">
        <f>IF(Data!F43="x","✓","")</f>
        <v/>
      </c>
      <c r="AT6" s="46" t="str">
        <f>IF(Data!F44="x","✓","")</f>
        <v/>
      </c>
      <c r="AU6" s="46" t="str">
        <f>IF(Data!F45="x","✓","")</f>
        <v/>
      </c>
      <c r="AV6" s="46" t="str">
        <f>IF(Data!F46="x","✓","")</f>
        <v/>
      </c>
      <c r="AW6" s="46" t="str">
        <f>IF(Data!F47="x","✓","")</f>
        <v/>
      </c>
      <c r="AX6" s="46" t="str">
        <f>IF(Data!F48="x","✓","")</f>
        <v/>
      </c>
      <c r="AY6" s="46" t="str">
        <f>IF(Data!F49="x","✓","")</f>
        <v/>
      </c>
      <c r="AZ6" s="46" t="str">
        <f>IF(Data!F50="x","✓","")</f>
        <v/>
      </c>
      <c r="BA6" s="46" t="str">
        <f>IF(Data!F51="x","✓","")</f>
        <v/>
      </c>
      <c r="BB6" s="46" t="str">
        <f>IF(Data!F52="x","✓","")</f>
        <v/>
      </c>
      <c r="BC6" s="46" t="str">
        <f>IF(Data!F53="x","✓","")</f>
        <v/>
      </c>
      <c r="BD6" s="46" t="str">
        <f>IF(Data!F54="x","✓","")</f>
        <v/>
      </c>
      <c r="BE6" s="46" t="str">
        <f>IF(Data!F55="x","✓","")</f>
        <v/>
      </c>
      <c r="BF6" s="46" t="str">
        <f>IF(Data!F56="x","✓","")</f>
        <v/>
      </c>
      <c r="BG6" s="46" t="str">
        <f>IF(Data!F57="x","✓","")</f>
        <v/>
      </c>
      <c r="BH6" s="46" t="str">
        <f>IF(Data!F58="x","✓","")</f>
        <v/>
      </c>
      <c r="BI6" s="46" t="str">
        <f>IF(Data!F59="x","✓","")</f>
        <v/>
      </c>
      <c r="BJ6" s="46" t="str">
        <f>IF(Data!F60="x","✓","")</f>
        <v/>
      </c>
      <c r="BK6" s="46" t="str">
        <f>IF(Data!F61="x","✓","")</f>
        <v/>
      </c>
    </row>
    <row r="7" spans="2:64" ht="15.75" customHeight="1">
      <c r="B7" s="41" t="s">
        <v>5</v>
      </c>
      <c r="C7" s="42">
        <f>COUNTIF(Data!G2:G61,"x")</f>
        <v>6</v>
      </c>
      <c r="D7" s="43" t="str">
        <f>IF(Data!G2="x","✓","")</f>
        <v/>
      </c>
      <c r="E7" s="43" t="str">
        <f>IF(Data!G3="x","✓","")</f>
        <v/>
      </c>
      <c r="F7" s="43" t="str">
        <f>IF(Data!G4="x","✓","")</f>
        <v/>
      </c>
      <c r="G7" s="43" t="str">
        <f>IF(Data!G5="x","✓","")</f>
        <v/>
      </c>
      <c r="H7" s="43" t="str">
        <f>IF(Data!G6="x","✓","")</f>
        <v/>
      </c>
      <c r="I7" s="43" t="str">
        <f>IF(Data!G7="x","✓","")</f>
        <v/>
      </c>
      <c r="J7" s="43" t="str">
        <f>IF(Data!G8="x","✓","")</f>
        <v/>
      </c>
      <c r="K7" s="43" t="str">
        <f>IF(Data!G9="x","✓","")</f>
        <v/>
      </c>
      <c r="L7" s="43" t="str">
        <f>IF(Data!G10="x","✓","")</f>
        <v/>
      </c>
      <c r="M7" s="43" t="str">
        <f>IF(Data!G11="x","✓","")</f>
        <v/>
      </c>
      <c r="N7" s="43" t="str">
        <f>IF(Data!G12="x","✓","")</f>
        <v/>
      </c>
      <c r="O7" s="43" t="str">
        <f>IF(Data!G13="x","✓","")</f>
        <v/>
      </c>
      <c r="P7" s="43" t="str">
        <f>IF(Data!G14="x","✓","")</f>
        <v/>
      </c>
      <c r="Q7" s="43" t="str">
        <f>IF(Data!G15="x","✓","")</f>
        <v/>
      </c>
      <c r="R7" s="43" t="str">
        <f>IF(Data!G16="x","✓","")</f>
        <v/>
      </c>
      <c r="S7" s="43" t="str">
        <f>IF(Data!G17="x","✓","")</f>
        <v/>
      </c>
      <c r="T7" s="43" t="str">
        <f>IF(Data!G18="x","✓","")</f>
        <v/>
      </c>
      <c r="U7" s="44" t="str">
        <f>IF(Data!G19="x","✓","")</f>
        <v>✓</v>
      </c>
      <c r="V7" s="43" t="str">
        <f>IF(Data!G20="x","✓","")</f>
        <v/>
      </c>
      <c r="W7" s="43" t="str">
        <f>IF(Data!G21="x","✓","")</f>
        <v/>
      </c>
      <c r="X7" s="43" t="str">
        <f>IF(Data!G22="x","✓","")</f>
        <v/>
      </c>
      <c r="Y7" s="43" t="str">
        <f>IF(Data!G23="x","✓","")</f>
        <v/>
      </c>
      <c r="Z7" s="43" t="str">
        <f>IF(Data!G24="x","✓","")</f>
        <v/>
      </c>
      <c r="AA7" s="43" t="str">
        <f>IF(Data!G25="x","✓","")</f>
        <v/>
      </c>
      <c r="AB7" s="43" t="str">
        <f>IF(Data!G26="x","✓","")</f>
        <v/>
      </c>
      <c r="AC7" s="43" t="str">
        <f>IF(Data!G27="x","✓","")</f>
        <v/>
      </c>
      <c r="AD7" s="43" t="str">
        <f>IF(Data!G28="x","✓","")</f>
        <v/>
      </c>
      <c r="AE7" s="44" t="str">
        <f>IF(Data!G29="x","✓","")</f>
        <v>✓</v>
      </c>
      <c r="AF7" s="43" t="str">
        <f>IF(Data!G30="x","✓","")</f>
        <v/>
      </c>
      <c r="AG7" s="43" t="str">
        <f>IF(Data!G31="x","✓","")</f>
        <v/>
      </c>
      <c r="AH7" s="43" t="str">
        <f>IF(Data!G32="x","✓","")</f>
        <v/>
      </c>
      <c r="AI7" s="43" t="str">
        <f>IF(Data!G33="x","✓","")</f>
        <v/>
      </c>
      <c r="AJ7" s="43" t="str">
        <f>IF(Data!G34="x","✓","")</f>
        <v/>
      </c>
      <c r="AK7" s="43" t="str">
        <f>IF(Data!G35="x","✓","")</f>
        <v/>
      </c>
      <c r="AL7" s="47" t="str">
        <f>IF(Data!G36="x","✓","")</f>
        <v>✓</v>
      </c>
      <c r="AM7" s="43" t="str">
        <f>IF(Data!G37="x","✓","")</f>
        <v/>
      </c>
      <c r="AN7" s="47" t="str">
        <f>IF(Data!G38="x","✓","")</f>
        <v>✓</v>
      </c>
      <c r="AO7" s="44" t="str">
        <f>IF(Data!G39="x","✓","")</f>
        <v>✓</v>
      </c>
      <c r="AP7" s="43" t="str">
        <f>IF(Data!G40="x","✓","")</f>
        <v/>
      </c>
      <c r="AQ7" s="43" t="str">
        <f>IF(Data!G41="x","✓","")</f>
        <v/>
      </c>
      <c r="AR7" s="43" t="str">
        <f>IF(Data!G42="x","✓","")</f>
        <v>✓</v>
      </c>
      <c r="AS7" s="43" t="str">
        <f>IF(Data!G43="x","✓","")</f>
        <v/>
      </c>
      <c r="AT7" s="43" t="str">
        <f>IF(Data!G44="x","✓","")</f>
        <v/>
      </c>
      <c r="AU7" s="43" t="str">
        <f>IF(Data!G45="x","✓","")</f>
        <v/>
      </c>
      <c r="AV7" s="43" t="str">
        <f>IF(Data!G46="x","✓","")</f>
        <v/>
      </c>
      <c r="AW7" s="43" t="str">
        <f>IF(Data!G47="x","✓","")</f>
        <v/>
      </c>
      <c r="AX7" s="43" t="str">
        <f>IF(Data!G48="x","✓","")</f>
        <v/>
      </c>
      <c r="AY7" s="43" t="str">
        <f>IF(Data!G49="x","✓","")</f>
        <v/>
      </c>
      <c r="AZ7" s="43" t="str">
        <f>IF(Data!G50="x","✓","")</f>
        <v/>
      </c>
      <c r="BA7" s="43" t="str">
        <f>IF(Data!G51="x","✓","")</f>
        <v/>
      </c>
      <c r="BB7" s="43" t="str">
        <f>IF(Data!G52="x","✓","")</f>
        <v/>
      </c>
      <c r="BC7" s="43" t="str">
        <f>IF(Data!G53="x","✓","")</f>
        <v/>
      </c>
      <c r="BD7" s="43" t="str">
        <f>IF(Data!G54="x","✓","")</f>
        <v/>
      </c>
      <c r="BE7" s="43" t="str">
        <f>IF(Data!G55="x","✓","")</f>
        <v/>
      </c>
      <c r="BF7" s="43" t="str">
        <f>IF(Data!G56="x","✓","")</f>
        <v/>
      </c>
      <c r="BG7" s="43" t="str">
        <f>IF(Data!G57="x","✓","")</f>
        <v/>
      </c>
      <c r="BH7" s="43" t="str">
        <f>IF(Data!G58="x","✓","")</f>
        <v/>
      </c>
      <c r="BI7" s="43" t="str">
        <f>IF(Data!G59="x","✓","")</f>
        <v/>
      </c>
      <c r="BJ7" s="43" t="str">
        <f>IF(Data!G60="x","✓","")</f>
        <v/>
      </c>
      <c r="BK7" s="43" t="str">
        <f>IF(Data!G61="x","✓","")</f>
        <v/>
      </c>
    </row>
    <row r="8" spans="2:64" ht="15.75" customHeight="1">
      <c r="B8" s="45" t="s">
        <v>6</v>
      </c>
      <c r="C8" s="42">
        <f>COUNTIF(Data!H2:H61,"x")</f>
        <v>6</v>
      </c>
      <c r="D8" s="46" t="str">
        <f>IF(Data!H2="x","✓","")</f>
        <v/>
      </c>
      <c r="E8" s="46" t="str">
        <f>IF(Data!H3="x","✓","")</f>
        <v/>
      </c>
      <c r="F8" s="46" t="str">
        <f>IF(Data!H4="x","✓","")</f>
        <v/>
      </c>
      <c r="G8" s="46" t="str">
        <f>IF(Data!H5="x","✓","")</f>
        <v/>
      </c>
      <c r="H8" s="46" t="str">
        <f>IF(Data!H6="x","✓","")</f>
        <v/>
      </c>
      <c r="I8" s="46" t="str">
        <f>IF(Data!H7="x","✓","")</f>
        <v/>
      </c>
      <c r="J8" s="46" t="str">
        <f>IF(Data!H8="x","✓","")</f>
        <v/>
      </c>
      <c r="K8" s="46" t="str">
        <f>IF(Data!H9="x","✓","")</f>
        <v/>
      </c>
      <c r="L8" s="46" t="str">
        <f>IF(Data!H10="x","✓","")</f>
        <v/>
      </c>
      <c r="M8" s="46" t="str">
        <f>IF(Data!H11="x","✓","")</f>
        <v/>
      </c>
      <c r="N8" s="46" t="str">
        <f>IF(Data!H12="x","✓","")</f>
        <v/>
      </c>
      <c r="O8" s="46" t="str">
        <f>IF(Data!H13="x","✓","")</f>
        <v/>
      </c>
      <c r="P8" s="46" t="str">
        <f>IF(Data!H14="x","✓","")</f>
        <v/>
      </c>
      <c r="Q8" s="46" t="str">
        <f>IF(Data!H15="x","✓","")</f>
        <v/>
      </c>
      <c r="R8" s="46" t="str">
        <f>IF(Data!H16="x","✓","")</f>
        <v/>
      </c>
      <c r="S8" s="46" t="str">
        <f>IF(Data!H17="x","✓","")</f>
        <v/>
      </c>
      <c r="T8" s="46" t="str">
        <f>IF(Data!H18="x","✓","")</f>
        <v/>
      </c>
      <c r="U8" s="44" t="str">
        <f>IF(Data!H19="x","✓","")</f>
        <v>✓</v>
      </c>
      <c r="V8" s="46" t="str">
        <f>IF(Data!H20="x","✓","")</f>
        <v/>
      </c>
      <c r="W8" s="46" t="str">
        <f>IF(Data!H21="x","✓","")</f>
        <v/>
      </c>
      <c r="X8" s="46" t="str">
        <f>IF(Data!H22="x","✓","")</f>
        <v/>
      </c>
      <c r="Y8" s="46" t="str">
        <f>IF(Data!H23="x","✓","")</f>
        <v/>
      </c>
      <c r="Z8" s="46" t="str">
        <f>IF(Data!H24="x","✓","")</f>
        <v/>
      </c>
      <c r="AA8" s="46" t="str">
        <f>IF(Data!H25="x","✓","")</f>
        <v/>
      </c>
      <c r="AB8" s="46" t="str">
        <f>IF(Data!H26="x","✓","")</f>
        <v/>
      </c>
      <c r="AC8" s="46" t="str">
        <f>IF(Data!H27="x","✓","")</f>
        <v/>
      </c>
      <c r="AD8" s="46" t="str">
        <f>IF(Data!H28="x","✓","")</f>
        <v/>
      </c>
      <c r="AE8" s="44" t="str">
        <f>IF(Data!H29="x","✓","")</f>
        <v>✓</v>
      </c>
      <c r="AF8" s="46" t="str">
        <f>IF(Data!H30="x","✓","")</f>
        <v/>
      </c>
      <c r="AG8" s="46" t="str">
        <f>IF(Data!H31="x","✓","")</f>
        <v/>
      </c>
      <c r="AH8" s="46" t="str">
        <f>IF(Data!H32="x","✓","")</f>
        <v/>
      </c>
      <c r="AI8" s="46" t="str">
        <f>IF(Data!H33="x","✓","")</f>
        <v/>
      </c>
      <c r="AJ8" s="46" t="str">
        <f>IF(Data!H34="x","✓","")</f>
        <v/>
      </c>
      <c r="AK8" s="46" t="str">
        <f>IF(Data!H35="x","✓","")</f>
        <v/>
      </c>
      <c r="AL8" s="47" t="str">
        <f>IF(Data!H36="x","✓","")</f>
        <v>✓</v>
      </c>
      <c r="AM8" s="46" t="str">
        <f>IF(Data!H37="x","✓","")</f>
        <v/>
      </c>
      <c r="AN8" s="47" t="str">
        <f>IF(Data!H38="x","✓","")</f>
        <v>✓</v>
      </c>
      <c r="AO8" s="44" t="str">
        <f>IF(Data!H39="x","✓","")</f>
        <v>✓</v>
      </c>
      <c r="AP8" s="46" t="str">
        <f>IF(Data!H40="x","✓","")</f>
        <v/>
      </c>
      <c r="AQ8" s="46" t="str">
        <f>IF(Data!H41="x","✓","")</f>
        <v/>
      </c>
      <c r="AR8" s="46" t="str">
        <f>IF(Data!H42="x","✓","")</f>
        <v>✓</v>
      </c>
      <c r="AS8" s="46" t="str">
        <f>IF(Data!H43="x","✓","")</f>
        <v/>
      </c>
      <c r="AT8" s="46" t="str">
        <f>IF(Data!H44="x","✓","")</f>
        <v/>
      </c>
      <c r="AU8" s="46" t="str">
        <f>IF(Data!H45="x","✓","")</f>
        <v/>
      </c>
      <c r="AV8" s="46" t="str">
        <f>IF(Data!H46="x","✓","")</f>
        <v/>
      </c>
      <c r="AW8" s="46" t="str">
        <f>IF(Data!H47="x","✓","")</f>
        <v/>
      </c>
      <c r="AX8" s="46" t="str">
        <f>IF(Data!H48="x","✓","")</f>
        <v/>
      </c>
      <c r="AY8" s="46" t="str">
        <f>IF(Data!H49="x","✓","")</f>
        <v/>
      </c>
      <c r="AZ8" s="46" t="str">
        <f>IF(Data!H50="x","✓","")</f>
        <v/>
      </c>
      <c r="BA8" s="46" t="str">
        <f>IF(Data!H51="x","✓","")</f>
        <v/>
      </c>
      <c r="BB8" s="46" t="str">
        <f>IF(Data!H52="x","✓","")</f>
        <v/>
      </c>
      <c r="BC8" s="46" t="str">
        <f>IF(Data!H53="x","✓","")</f>
        <v/>
      </c>
      <c r="BD8" s="46" t="str">
        <f>IF(Data!H54="x","✓","")</f>
        <v/>
      </c>
      <c r="BE8" s="46" t="str">
        <f>IF(Data!H55="x","✓","")</f>
        <v/>
      </c>
      <c r="BF8" s="46" t="str">
        <f>IF(Data!H56="x","✓","")</f>
        <v/>
      </c>
      <c r="BG8" s="46" t="str">
        <f>IF(Data!H57="x","✓","")</f>
        <v/>
      </c>
      <c r="BH8" s="46" t="str">
        <f>IF(Data!H58="x","✓","")</f>
        <v/>
      </c>
      <c r="BI8" s="46" t="str">
        <f>IF(Data!H59="x","✓","")</f>
        <v/>
      </c>
      <c r="BJ8" s="46" t="str">
        <f>IF(Data!H60="x","✓","")</f>
        <v/>
      </c>
      <c r="BK8" s="46" t="str">
        <f>IF(Data!H61="x","✓","")</f>
        <v/>
      </c>
    </row>
    <row r="9" spans="2:64" ht="15.75" customHeight="1">
      <c r="B9" s="41" t="s">
        <v>7</v>
      </c>
      <c r="C9" s="42">
        <f>COUNTIF(Data!I2:I61,"x")</f>
        <v>5</v>
      </c>
      <c r="D9" s="43" t="str">
        <f>IF(Data!I2="x","✓","")</f>
        <v/>
      </c>
      <c r="E9" s="43" t="str">
        <f>IF(Data!I3="x","✓","")</f>
        <v/>
      </c>
      <c r="F9" s="43" t="str">
        <f>IF(Data!I4="x","✓","")</f>
        <v/>
      </c>
      <c r="G9" s="43" t="str">
        <f>IF(Data!I5="x","✓","")</f>
        <v/>
      </c>
      <c r="H9" s="43" t="str">
        <f>IF(Data!I6="x","✓","")</f>
        <v/>
      </c>
      <c r="I9" s="43" t="str">
        <f>IF(Data!I7="x","✓","")</f>
        <v/>
      </c>
      <c r="J9" s="43" t="str">
        <f>IF(Data!I8="x","✓","")</f>
        <v/>
      </c>
      <c r="K9" s="43" t="str">
        <f>IF(Data!I9="x","✓","")</f>
        <v/>
      </c>
      <c r="L9" s="43" t="str">
        <f>IF(Data!I10="x","✓","")</f>
        <v/>
      </c>
      <c r="M9" s="43" t="str">
        <f>IF(Data!I11="x","✓","")</f>
        <v/>
      </c>
      <c r="N9" s="43" t="str">
        <f>IF(Data!I12="x","✓","")</f>
        <v/>
      </c>
      <c r="O9" s="43" t="str">
        <f>IF(Data!I13="x","✓","")</f>
        <v/>
      </c>
      <c r="P9" s="43" t="str">
        <f>IF(Data!I14="x","✓","")</f>
        <v/>
      </c>
      <c r="Q9" s="44" t="str">
        <f>IF(Data!I15="x","✓","")</f>
        <v>✓</v>
      </c>
      <c r="R9" s="43" t="str">
        <f>IF(Data!I16="x","✓","")</f>
        <v/>
      </c>
      <c r="S9" s="43" t="str">
        <f>IF(Data!I17="x","✓","")</f>
        <v/>
      </c>
      <c r="T9" s="43" t="str">
        <f>IF(Data!I18="x","✓","")</f>
        <v/>
      </c>
      <c r="U9" s="43" t="str">
        <f>IF(Data!I19="x","✓","")</f>
        <v/>
      </c>
      <c r="V9" s="43" t="str">
        <f>IF(Data!I20="x","✓","")</f>
        <v/>
      </c>
      <c r="W9" s="43" t="str">
        <f>IF(Data!I21="x","✓","")</f>
        <v/>
      </c>
      <c r="X9" s="43" t="str">
        <f>IF(Data!I22="x","✓","")</f>
        <v/>
      </c>
      <c r="Y9" s="43" t="str">
        <f>IF(Data!I23="x","✓","")</f>
        <v/>
      </c>
      <c r="Z9" s="43" t="str">
        <f>IF(Data!I24="x","✓","")</f>
        <v/>
      </c>
      <c r="AA9" s="43" t="str">
        <f>IF(Data!I25="x","✓","")</f>
        <v/>
      </c>
      <c r="AB9" s="43" t="str">
        <f>IF(Data!I26="x","✓","")</f>
        <v/>
      </c>
      <c r="AC9" s="43" t="str">
        <f>IF(Data!I27="x","✓","")</f>
        <v/>
      </c>
      <c r="AD9" s="43" t="str">
        <f>IF(Data!I28="x","✓","")</f>
        <v/>
      </c>
      <c r="AE9" s="43" t="str">
        <f>IF(Data!I29="x","✓","")</f>
        <v/>
      </c>
      <c r="AF9" s="47" t="str">
        <f>IF(Data!I30="x","✓","")</f>
        <v>✓</v>
      </c>
      <c r="AG9" s="43" t="str">
        <f>IF(Data!I31="x","✓","")</f>
        <v/>
      </c>
      <c r="AH9" s="47" t="str">
        <f>IF(Data!I32="x","✓","")</f>
        <v>✓</v>
      </c>
      <c r="AI9" s="43" t="str">
        <f>IF(Data!I33="x","✓","")</f>
        <v/>
      </c>
      <c r="AJ9" s="43" t="str">
        <f>IF(Data!I34="x","✓","")</f>
        <v/>
      </c>
      <c r="AK9" s="44" t="str">
        <f>IF(Data!I35="x","✓","")</f>
        <v>✓</v>
      </c>
      <c r="AL9" s="43" t="str">
        <f>IF(Data!I36="x","✓","")</f>
        <v/>
      </c>
      <c r="AM9" s="43" t="str">
        <f>IF(Data!I37="x","✓","")</f>
        <v/>
      </c>
      <c r="AN9" s="43" t="str">
        <f>IF(Data!I38="x","✓","")</f>
        <v/>
      </c>
      <c r="AO9" s="43" t="str">
        <f>IF(Data!I39="x","✓","")</f>
        <v/>
      </c>
      <c r="AP9" s="43" t="str">
        <f>IF(Data!I40="x","✓","")</f>
        <v/>
      </c>
      <c r="AQ9" s="43" t="str">
        <f>IF(Data!I41="x","✓","")</f>
        <v/>
      </c>
      <c r="AR9" s="43" t="str">
        <f>IF(Data!I42="x","✓","")</f>
        <v>✓</v>
      </c>
      <c r="AS9" s="43" t="str">
        <f>IF(Data!I43="x","✓","")</f>
        <v/>
      </c>
      <c r="AT9" s="43" t="str">
        <f>IF(Data!I44="x","✓","")</f>
        <v/>
      </c>
      <c r="AU9" s="43" t="str">
        <f>IF(Data!I45="x","✓","")</f>
        <v/>
      </c>
      <c r="AV9" s="43" t="str">
        <f>IF(Data!I46="x","✓","")</f>
        <v/>
      </c>
      <c r="AW9" s="43" t="str">
        <f>IF(Data!I47="x","✓","")</f>
        <v/>
      </c>
      <c r="AX9" s="43" t="str">
        <f>IF(Data!I48="x","✓","")</f>
        <v/>
      </c>
      <c r="AY9" s="43" t="str">
        <f>IF(Data!I49="x","✓","")</f>
        <v/>
      </c>
      <c r="AZ9" s="43" t="str">
        <f>IF(Data!I50="x","✓","")</f>
        <v/>
      </c>
      <c r="BA9" s="43" t="str">
        <f>IF(Data!I51="x","✓","")</f>
        <v/>
      </c>
      <c r="BB9" s="43" t="str">
        <f>IF(Data!I52="x","✓","")</f>
        <v/>
      </c>
      <c r="BC9" s="43" t="str">
        <f>IF(Data!I53="x","✓","")</f>
        <v/>
      </c>
      <c r="BD9" s="43" t="str">
        <f>IF(Data!I54="x","✓","")</f>
        <v/>
      </c>
      <c r="BE9" s="43" t="str">
        <f>IF(Data!I55="x","✓","")</f>
        <v/>
      </c>
      <c r="BF9" s="43" t="str">
        <f>IF(Data!I56="x","✓","")</f>
        <v/>
      </c>
      <c r="BG9" s="43" t="str">
        <f>IF(Data!I57="x","✓","")</f>
        <v/>
      </c>
      <c r="BH9" s="43" t="str">
        <f>IF(Data!I58="x","✓","")</f>
        <v/>
      </c>
      <c r="BI9" s="43" t="str">
        <f>IF(Data!I59="x","✓","")</f>
        <v/>
      </c>
      <c r="BJ9" s="43" t="str">
        <f>IF(Data!I60="x","✓","")</f>
        <v/>
      </c>
      <c r="BK9" s="43" t="str">
        <f>IF(Data!I61="x","✓","")</f>
        <v/>
      </c>
    </row>
    <row r="10" spans="2:64" ht="15.75" customHeight="1">
      <c r="B10" s="45" t="s">
        <v>8</v>
      </c>
      <c r="C10" s="48">
        <f>COUNTIF(Data!J2:J61,"x")</f>
        <v>8</v>
      </c>
      <c r="D10" s="46" t="str">
        <f>IF(Data!J2="x","✓","")</f>
        <v/>
      </c>
      <c r="E10" s="46" t="str">
        <f>IF(Data!J3="x","✓","")</f>
        <v/>
      </c>
      <c r="F10" s="46" t="str">
        <f>IF(Data!J4="x","✓","")</f>
        <v/>
      </c>
      <c r="G10" s="46" t="str">
        <f>IF(Data!J5="x","✓","")</f>
        <v/>
      </c>
      <c r="H10" s="46" t="str">
        <f>IF(Data!J6="x","✓","")</f>
        <v/>
      </c>
      <c r="I10" s="46" t="str">
        <f>IF(Data!J7="x","✓","")</f>
        <v/>
      </c>
      <c r="J10" s="46" t="str">
        <f>IF(Data!J8="x","✓","")</f>
        <v/>
      </c>
      <c r="K10" s="46" t="str">
        <f>IF(Data!J9="x","✓","")</f>
        <v/>
      </c>
      <c r="L10" s="46" t="str">
        <f>IF(Data!J10="x","✓","")</f>
        <v/>
      </c>
      <c r="M10" s="46" t="str">
        <f>IF(Data!J11="x","✓","")</f>
        <v/>
      </c>
      <c r="N10" s="46" t="str">
        <f>IF(Data!J12="x","✓","")</f>
        <v/>
      </c>
      <c r="O10" s="46" t="str">
        <f>IF(Data!J13="x","✓","")</f>
        <v/>
      </c>
      <c r="P10" s="46" t="str">
        <f>IF(Data!J14="x","✓","")</f>
        <v/>
      </c>
      <c r="Q10" s="46" t="str">
        <f>IF(Data!J15="x","✓","")</f>
        <v/>
      </c>
      <c r="R10" s="46" t="str">
        <f>IF(Data!J16="x","✓","")</f>
        <v/>
      </c>
      <c r="S10" s="44" t="str">
        <f>IF(Data!J17="x","✓","")</f>
        <v>✓</v>
      </c>
      <c r="T10" s="46" t="str">
        <f>IF(Data!J18="x","✓","")</f>
        <v/>
      </c>
      <c r="U10" s="44" t="str">
        <f>IF(Data!J19="x","✓","")</f>
        <v>✓</v>
      </c>
      <c r="V10" s="46" t="str">
        <f>IF(Data!J20="x","✓","")</f>
        <v/>
      </c>
      <c r="W10" s="46" t="str">
        <f>IF(Data!J21="x","✓","")</f>
        <v/>
      </c>
      <c r="X10" s="46" t="str">
        <f>IF(Data!J22="x","✓","")</f>
        <v/>
      </c>
      <c r="Y10" s="46" t="str">
        <f>IF(Data!J23="x","✓","")</f>
        <v/>
      </c>
      <c r="Z10" s="46" t="str">
        <f>IF(Data!J24="x","✓","")</f>
        <v/>
      </c>
      <c r="AA10" s="46" t="str">
        <f>IF(Data!J25="x","✓","")</f>
        <v/>
      </c>
      <c r="AB10" s="46" t="str">
        <f>IF(Data!J26="x","✓","")</f>
        <v/>
      </c>
      <c r="AC10" s="44" t="str">
        <f>IF(Data!J27="x","✓","")</f>
        <v>✓</v>
      </c>
      <c r="AD10" s="46" t="str">
        <f>IF(Data!J28="x","✓","")</f>
        <v/>
      </c>
      <c r="AE10" s="46" t="str">
        <f>IF(Data!J29="x","✓","")</f>
        <v/>
      </c>
      <c r="AF10" s="46" t="str">
        <f>IF(Data!J30="x","✓","")</f>
        <v/>
      </c>
      <c r="AG10" s="46" t="str">
        <f>IF(Data!J31="x","✓","")</f>
        <v/>
      </c>
      <c r="AH10" s="46" t="str">
        <f>IF(Data!J32="x","✓","")</f>
        <v/>
      </c>
      <c r="AI10" s="44" t="str">
        <f>IF(Data!J33="x","✓","")</f>
        <v>✓</v>
      </c>
      <c r="AJ10" s="46" t="str">
        <f>IF(Data!J34="x","✓","")</f>
        <v/>
      </c>
      <c r="AK10" s="46" t="str">
        <f>IF(Data!J35="x","✓","")</f>
        <v/>
      </c>
      <c r="AL10" s="47" t="str">
        <f>IF(Data!J36="x","✓","")</f>
        <v>✓</v>
      </c>
      <c r="AM10" s="46" t="str">
        <f>IF(Data!J37="x","✓","")</f>
        <v/>
      </c>
      <c r="AN10" s="47" t="str">
        <f>IF(Data!J38="x","✓","")</f>
        <v>✓</v>
      </c>
      <c r="AO10" s="44" t="str">
        <f>IF(Data!J39="x","✓","")</f>
        <v>✓</v>
      </c>
      <c r="AP10" s="46" t="str">
        <f>IF(Data!J40="x","✓","")</f>
        <v/>
      </c>
      <c r="AQ10" s="46" t="str">
        <f>IF(Data!J41="x","✓","")</f>
        <v/>
      </c>
      <c r="AR10" s="46" t="str">
        <f>IF(Data!J42="x","✓","")</f>
        <v>✓</v>
      </c>
      <c r="AS10" s="46" t="str">
        <f>IF(Data!J43="x","✓","")</f>
        <v/>
      </c>
      <c r="AT10" s="46" t="str">
        <f>IF(Data!J44="x","✓","")</f>
        <v/>
      </c>
      <c r="AU10" s="46" t="str">
        <f>IF(Data!J45="x","✓","")</f>
        <v/>
      </c>
      <c r="AV10" s="46" t="str">
        <f>IF(Data!J46="x","✓","")</f>
        <v/>
      </c>
      <c r="AW10" s="46" t="str">
        <f>IF(Data!J47="x","✓","")</f>
        <v/>
      </c>
      <c r="AX10" s="46" t="str">
        <f>IF(Data!J48="x","✓","")</f>
        <v/>
      </c>
      <c r="AY10" s="46" t="str">
        <f>IF(Data!J49="x","✓","")</f>
        <v/>
      </c>
      <c r="AZ10" s="46" t="str">
        <f>IF(Data!J50="x","✓","")</f>
        <v/>
      </c>
      <c r="BA10" s="46" t="str">
        <f>IF(Data!J51="x","✓","")</f>
        <v/>
      </c>
      <c r="BB10" s="46" t="str">
        <f>IF(Data!J52="x","✓","")</f>
        <v/>
      </c>
      <c r="BC10" s="46" t="str">
        <f>IF(Data!J53="x","✓","")</f>
        <v/>
      </c>
      <c r="BD10" s="46" t="str">
        <f>IF(Data!J54="x","✓","")</f>
        <v/>
      </c>
      <c r="BE10" s="46" t="str">
        <f>IF(Data!J55="x","✓","")</f>
        <v/>
      </c>
      <c r="BF10" s="46" t="str">
        <f>IF(Data!J56="x","✓","")</f>
        <v/>
      </c>
      <c r="BG10" s="46" t="str">
        <f>IF(Data!J57="x","✓","")</f>
        <v/>
      </c>
      <c r="BH10" s="46" t="str">
        <f>IF(Data!J58="x","✓","")</f>
        <v/>
      </c>
      <c r="BI10" s="46" t="str">
        <f>IF(Data!J59="x","✓","")</f>
        <v/>
      </c>
      <c r="BJ10" s="46" t="str">
        <f>IF(Data!J60="x","✓","")</f>
        <v/>
      </c>
      <c r="BK10" s="46" t="str">
        <f>IF(Data!J61="x","✓","")</f>
        <v/>
      </c>
    </row>
    <row r="11" spans="2:64" ht="15.75" customHeight="1">
      <c r="B11" s="41" t="s">
        <v>9</v>
      </c>
      <c r="C11" s="42">
        <f>COUNTIF(Data!K2:K61,"x")</f>
        <v>6</v>
      </c>
      <c r="D11" s="43" t="str">
        <f>IF(Data!K2="x","✓","")</f>
        <v/>
      </c>
      <c r="E11" s="43" t="str">
        <f>IF(Data!K3="x","✓","")</f>
        <v/>
      </c>
      <c r="F11" s="43" t="str">
        <f>IF(Data!K4="x","✓","")</f>
        <v/>
      </c>
      <c r="G11" s="43" t="str">
        <f>IF(Data!K5="x","✓","")</f>
        <v/>
      </c>
      <c r="H11" s="43" t="str">
        <f>IF(Data!K6="x","✓","")</f>
        <v/>
      </c>
      <c r="I11" s="43" t="str">
        <f>IF(Data!K7="x","✓","")</f>
        <v/>
      </c>
      <c r="J11" s="43" t="str">
        <f>IF(Data!K8="x","✓","")</f>
        <v/>
      </c>
      <c r="K11" s="43" t="str">
        <f>IF(Data!K9="x","✓","")</f>
        <v/>
      </c>
      <c r="L11" s="43" t="str">
        <f>IF(Data!K10="x","✓","")</f>
        <v/>
      </c>
      <c r="M11" s="43" t="str">
        <f>IF(Data!K11="x","✓","")</f>
        <v/>
      </c>
      <c r="N11" s="43" t="str">
        <f>IF(Data!K12="x","✓","")</f>
        <v/>
      </c>
      <c r="O11" s="43" t="str">
        <f>IF(Data!K13="x","✓","")</f>
        <v/>
      </c>
      <c r="P11" s="43" t="str">
        <f>IF(Data!K14="x","✓","")</f>
        <v/>
      </c>
      <c r="Q11" s="43" t="str">
        <f>IF(Data!K15="x","✓","")</f>
        <v/>
      </c>
      <c r="R11" s="43" t="str">
        <f>IF(Data!K16="x","✓","")</f>
        <v/>
      </c>
      <c r="S11" s="43" t="str">
        <f>IF(Data!K17="x","✓","")</f>
        <v/>
      </c>
      <c r="T11" s="43" t="str">
        <f>IF(Data!K18="x","✓","")</f>
        <v/>
      </c>
      <c r="U11" s="44" t="str">
        <f>IF(Data!K19="x","✓","")</f>
        <v>✓</v>
      </c>
      <c r="V11" s="43" t="str">
        <f>IF(Data!K20="x","✓","")</f>
        <v/>
      </c>
      <c r="W11" s="43" t="str">
        <f>IF(Data!K21="x","✓","")</f>
        <v/>
      </c>
      <c r="X11" s="43" t="str">
        <f>IF(Data!K22="x","✓","")</f>
        <v/>
      </c>
      <c r="Y11" s="43" t="str">
        <f>IF(Data!K23="x","✓","")</f>
        <v/>
      </c>
      <c r="Z11" s="43" t="str">
        <f>IF(Data!K24="x","✓","")</f>
        <v/>
      </c>
      <c r="AA11" s="43" t="str">
        <f>IF(Data!K25="x","✓","")</f>
        <v/>
      </c>
      <c r="AB11" s="43" t="str">
        <f>IF(Data!K26="x","✓","")</f>
        <v/>
      </c>
      <c r="AC11" s="43" t="str">
        <f>IF(Data!K27="x","✓","")</f>
        <v/>
      </c>
      <c r="AD11" s="43" t="str">
        <f>IF(Data!K28="x","✓","")</f>
        <v/>
      </c>
      <c r="AE11" s="44" t="str">
        <f>IF(Data!K29="x","✓","")</f>
        <v>✓</v>
      </c>
      <c r="AF11" s="43" t="str">
        <f>IF(Data!K30="x","✓","")</f>
        <v/>
      </c>
      <c r="AG11" s="43" t="str">
        <f>IF(Data!K31="x","✓","")</f>
        <v/>
      </c>
      <c r="AH11" s="43" t="str">
        <f>IF(Data!K32="x","✓","")</f>
        <v/>
      </c>
      <c r="AI11" s="43" t="str">
        <f>IF(Data!K33="x","✓","")</f>
        <v/>
      </c>
      <c r="AJ11" s="43" t="str">
        <f>IF(Data!K34="x","✓","")</f>
        <v/>
      </c>
      <c r="AK11" s="43" t="str">
        <f>IF(Data!K35="x","✓","")</f>
        <v/>
      </c>
      <c r="AL11" s="47" t="str">
        <f>IF(Data!K36="x","✓","")</f>
        <v>✓</v>
      </c>
      <c r="AM11" s="43" t="str">
        <f>IF(Data!K37="x","✓","")</f>
        <v/>
      </c>
      <c r="AN11" s="47" t="str">
        <f>IF(Data!K38="x","✓","")</f>
        <v>✓</v>
      </c>
      <c r="AO11" s="44" t="str">
        <f>IF(Data!K39="x","✓","")</f>
        <v>✓</v>
      </c>
      <c r="AP11" s="43" t="str">
        <f>IF(Data!K40="x","✓","")</f>
        <v/>
      </c>
      <c r="AQ11" s="43" t="str">
        <f>IF(Data!K41="x","✓","")</f>
        <v/>
      </c>
      <c r="AR11" s="43" t="str">
        <f>IF(Data!K42="x","✓","")</f>
        <v>✓</v>
      </c>
      <c r="AS11" s="43" t="str">
        <f>IF(Data!K43="x","✓","")</f>
        <v/>
      </c>
      <c r="AT11" s="43" t="str">
        <f>IF(Data!K44="x","✓","")</f>
        <v/>
      </c>
      <c r="AU11" s="43" t="str">
        <f>IF(Data!K45="x","✓","")</f>
        <v/>
      </c>
      <c r="AV11" s="43" t="str">
        <f>IF(Data!K46="x","✓","")</f>
        <v/>
      </c>
      <c r="AW11" s="43" t="str">
        <f>IF(Data!K47="x","✓","")</f>
        <v/>
      </c>
      <c r="AX11" s="43" t="str">
        <f>IF(Data!K48="x","✓","")</f>
        <v/>
      </c>
      <c r="AY11" s="43" t="str">
        <f>IF(Data!K49="x","✓","")</f>
        <v/>
      </c>
      <c r="AZ11" s="43" t="str">
        <f>IF(Data!K50="x","✓","")</f>
        <v/>
      </c>
      <c r="BA11" s="43" t="str">
        <f>IF(Data!K51="x","✓","")</f>
        <v/>
      </c>
      <c r="BB11" s="43" t="str">
        <f>IF(Data!K52="x","✓","")</f>
        <v/>
      </c>
      <c r="BC11" s="43" t="str">
        <f>IF(Data!K53="x","✓","")</f>
        <v/>
      </c>
      <c r="BD11" s="43" t="str">
        <f>IF(Data!K54="x","✓","")</f>
        <v/>
      </c>
      <c r="BE11" s="43" t="str">
        <f>IF(Data!K55="x","✓","")</f>
        <v/>
      </c>
      <c r="BF11" s="43" t="str">
        <f>IF(Data!K56="x","✓","")</f>
        <v/>
      </c>
      <c r="BG11" s="43" t="str">
        <f>IF(Data!K57="x","✓","")</f>
        <v/>
      </c>
      <c r="BH11" s="43" t="str">
        <f>IF(Data!K58="x","✓","")</f>
        <v/>
      </c>
      <c r="BI11" s="43" t="str">
        <f>IF(Data!K59="x","✓","")</f>
        <v/>
      </c>
      <c r="BJ11" s="43" t="str">
        <f>IF(Data!K60="x","✓","")</f>
        <v/>
      </c>
      <c r="BK11" s="43" t="str">
        <f>IF(Data!K61="x","✓","")</f>
        <v/>
      </c>
    </row>
    <row r="12" spans="2:64" ht="15.75" customHeight="1">
      <c r="B12" s="45" t="s">
        <v>10</v>
      </c>
      <c r="C12" s="42">
        <f>COUNTIF(Data!L2:L61,"x")</f>
        <v>5</v>
      </c>
      <c r="D12" s="46" t="str">
        <f>IF(Data!L2="x","✓","")</f>
        <v/>
      </c>
      <c r="E12" s="46" t="str">
        <f>IF(Data!L3="x","✓","")</f>
        <v/>
      </c>
      <c r="F12" s="46" t="str">
        <f>IF(Data!L4="x","✓","")</f>
        <v/>
      </c>
      <c r="G12" s="46" t="str">
        <f>IF(Data!L5="x","✓","")</f>
        <v/>
      </c>
      <c r="H12" s="46" t="str">
        <f>IF(Data!L6="x","✓","")</f>
        <v/>
      </c>
      <c r="I12" s="46" t="str">
        <f>IF(Data!L7="x","✓","")</f>
        <v/>
      </c>
      <c r="J12" s="46" t="str">
        <f>IF(Data!L8="x","✓","")</f>
        <v/>
      </c>
      <c r="K12" s="46" t="str">
        <f>IF(Data!L9="x","✓","")</f>
        <v/>
      </c>
      <c r="L12" s="46" t="str">
        <f>IF(Data!L10="x","✓","")</f>
        <v/>
      </c>
      <c r="M12" s="46" t="str">
        <f>IF(Data!L11="x","✓","")</f>
        <v/>
      </c>
      <c r="N12" s="46" t="str">
        <f>IF(Data!L12="x","✓","")</f>
        <v/>
      </c>
      <c r="O12" s="46" t="str">
        <f>IF(Data!L13="x","✓","")</f>
        <v/>
      </c>
      <c r="P12" s="46" t="str">
        <f>IF(Data!L14="x","✓","")</f>
        <v/>
      </c>
      <c r="Q12" s="44" t="str">
        <f>IF(Data!L15="x","✓","")</f>
        <v>✓</v>
      </c>
      <c r="R12" s="46" t="str">
        <f>IF(Data!L16="x","✓","")</f>
        <v/>
      </c>
      <c r="S12" s="46" t="str">
        <f>IF(Data!L17="x","✓","")</f>
        <v/>
      </c>
      <c r="T12" s="46" t="str">
        <f>IF(Data!L18="x","✓","")</f>
        <v/>
      </c>
      <c r="U12" s="46" t="str">
        <f>IF(Data!L19="x","✓","")</f>
        <v/>
      </c>
      <c r="V12" s="46" t="str">
        <f>IF(Data!L20="x","✓","")</f>
        <v/>
      </c>
      <c r="W12" s="46" t="str">
        <f>IF(Data!L21="x","✓","")</f>
        <v/>
      </c>
      <c r="X12" s="46" t="str">
        <f>IF(Data!L22="x","✓","")</f>
        <v/>
      </c>
      <c r="Y12" s="46" t="str">
        <f>IF(Data!L23="x","✓","")</f>
        <v/>
      </c>
      <c r="Z12" s="46" t="str">
        <f>IF(Data!L24="x","✓","")</f>
        <v/>
      </c>
      <c r="AA12" s="46" t="str">
        <f>IF(Data!L25="x","✓","")</f>
        <v/>
      </c>
      <c r="AB12" s="46" t="str">
        <f>IF(Data!L26="x","✓","")</f>
        <v/>
      </c>
      <c r="AC12" s="46" t="str">
        <f>IF(Data!L27="x","✓","")</f>
        <v/>
      </c>
      <c r="AD12" s="46" t="str">
        <f>IF(Data!L28="x","✓","")</f>
        <v/>
      </c>
      <c r="AE12" s="46" t="str">
        <f>IF(Data!L29="x","✓","")</f>
        <v/>
      </c>
      <c r="AF12" s="47" t="str">
        <f>IF(Data!L30="x","✓","")</f>
        <v>✓</v>
      </c>
      <c r="AG12" s="46" t="str">
        <f>IF(Data!L31="x","✓","")</f>
        <v/>
      </c>
      <c r="AH12" s="47" t="str">
        <f>IF(Data!L32="x","✓","")</f>
        <v>✓</v>
      </c>
      <c r="AI12" s="46" t="str">
        <f>IF(Data!L33="x","✓","")</f>
        <v/>
      </c>
      <c r="AJ12" s="46" t="str">
        <f>IF(Data!L34="x","✓","")</f>
        <v/>
      </c>
      <c r="AK12" s="44" t="str">
        <f>IF(Data!L35="x","✓","")</f>
        <v>✓</v>
      </c>
      <c r="AL12" s="46" t="str">
        <f>IF(Data!L36="x","✓","")</f>
        <v/>
      </c>
      <c r="AM12" s="46" t="str">
        <f>IF(Data!L37="x","✓","")</f>
        <v/>
      </c>
      <c r="AN12" s="46" t="str">
        <f>IF(Data!L38="x","✓","")</f>
        <v/>
      </c>
      <c r="AO12" s="46" t="str">
        <f>IF(Data!L39="x","✓","")</f>
        <v/>
      </c>
      <c r="AP12" s="46" t="str">
        <f>IF(Data!L40="x","✓","")</f>
        <v/>
      </c>
      <c r="AQ12" s="46" t="str">
        <f>IF(Data!L41="x","✓","")</f>
        <v/>
      </c>
      <c r="AR12" s="46" t="str">
        <f>IF(Data!L42="x","✓","")</f>
        <v>✓</v>
      </c>
      <c r="AS12" s="46" t="str">
        <f>IF(Data!L43="x","✓","")</f>
        <v/>
      </c>
      <c r="AT12" s="46" t="str">
        <f>IF(Data!L44="x","✓","")</f>
        <v/>
      </c>
      <c r="AU12" s="46" t="str">
        <f>IF(Data!L45="x","✓","")</f>
        <v/>
      </c>
      <c r="AV12" s="46" t="str">
        <f>IF(Data!L46="x","✓","")</f>
        <v/>
      </c>
      <c r="AW12" s="46" t="str">
        <f>IF(Data!L47="x","✓","")</f>
        <v/>
      </c>
      <c r="AX12" s="46" t="str">
        <f>IF(Data!L48="x","✓","")</f>
        <v/>
      </c>
      <c r="AY12" s="46" t="str">
        <f>IF(Data!L49="x","✓","")</f>
        <v/>
      </c>
      <c r="AZ12" s="46" t="str">
        <f>IF(Data!L50="x","✓","")</f>
        <v/>
      </c>
      <c r="BA12" s="46" t="str">
        <f>IF(Data!L51="x","✓","")</f>
        <v/>
      </c>
      <c r="BB12" s="46" t="str">
        <f>IF(Data!L52="x","✓","")</f>
        <v/>
      </c>
      <c r="BC12" s="46" t="str">
        <f>IF(Data!L53="x","✓","")</f>
        <v/>
      </c>
      <c r="BD12" s="46" t="str">
        <f>IF(Data!L54="x","✓","")</f>
        <v/>
      </c>
      <c r="BE12" s="46" t="str">
        <f>IF(Data!L55="x","✓","")</f>
        <v/>
      </c>
      <c r="BF12" s="46" t="str">
        <f>IF(Data!L56="x","✓","")</f>
        <v/>
      </c>
      <c r="BG12" s="46" t="str">
        <f>IF(Data!L57="x","✓","")</f>
        <v/>
      </c>
      <c r="BH12" s="46" t="str">
        <f>IF(Data!L58="x","✓","")</f>
        <v/>
      </c>
      <c r="BI12" s="46" t="str">
        <f>IF(Data!L59="x","✓","")</f>
        <v/>
      </c>
      <c r="BJ12" s="46" t="str">
        <f>IF(Data!L60="x","✓","")</f>
        <v/>
      </c>
      <c r="BK12" s="46" t="str">
        <f>IF(Data!L61="x","✓","")</f>
        <v/>
      </c>
    </row>
    <row r="13" spans="2:64" ht="15.75" customHeight="1">
      <c r="B13" s="41" t="s">
        <v>11</v>
      </c>
      <c r="C13" s="42">
        <f>COUNTIF(Data!M2:M61,"x")</f>
        <v>7</v>
      </c>
      <c r="D13" s="43" t="str">
        <f>IF(Data!M2="x","✓","")</f>
        <v/>
      </c>
      <c r="E13" s="43" t="str">
        <f>IF(Data!M3="x","✓","")</f>
        <v/>
      </c>
      <c r="F13" s="43" t="str">
        <f>IF(Data!M4="x","✓","")</f>
        <v/>
      </c>
      <c r="G13" s="43" t="str">
        <f>IF(Data!M5="x","✓","")</f>
        <v/>
      </c>
      <c r="H13" s="43" t="str">
        <f>IF(Data!M6="x","✓","")</f>
        <v/>
      </c>
      <c r="I13" s="43" t="str">
        <f>IF(Data!M7="x","✓","")</f>
        <v/>
      </c>
      <c r="J13" s="43" t="str">
        <f>IF(Data!M8="x","✓","")</f>
        <v/>
      </c>
      <c r="K13" s="43" t="str">
        <f>IF(Data!M9="x","✓","")</f>
        <v/>
      </c>
      <c r="L13" s="43" t="str">
        <f>IF(Data!M10="x","✓","")</f>
        <v/>
      </c>
      <c r="M13" s="43" t="str">
        <f>IF(Data!M11="x","✓","")</f>
        <v/>
      </c>
      <c r="N13" s="43" t="str">
        <f>IF(Data!M12="x","✓","")</f>
        <v/>
      </c>
      <c r="O13" s="43" t="str">
        <f>IF(Data!M13="x","✓","")</f>
        <v/>
      </c>
      <c r="P13" s="43" t="str">
        <f>IF(Data!M14="x","✓","")</f>
        <v/>
      </c>
      <c r="Q13" s="43" t="str">
        <f>IF(Data!M15="x","✓","")</f>
        <v/>
      </c>
      <c r="R13" s="43" t="str">
        <f>IF(Data!M16="x","✓","")</f>
        <v/>
      </c>
      <c r="S13" s="43" t="str">
        <f>IF(Data!M17="x","✓","")</f>
        <v/>
      </c>
      <c r="T13" s="43" t="str">
        <f>IF(Data!M18="x","✓","")</f>
        <v/>
      </c>
      <c r="U13" s="44" t="str">
        <f>IF(Data!M19="x","✓","")</f>
        <v>✓</v>
      </c>
      <c r="V13" s="43" t="str">
        <f>IF(Data!M20="x","✓","")</f>
        <v/>
      </c>
      <c r="W13" s="43" t="str">
        <f>IF(Data!M21="x","✓","")</f>
        <v/>
      </c>
      <c r="X13" s="43" t="str">
        <f>IF(Data!M22="x","✓","")</f>
        <v/>
      </c>
      <c r="Y13" s="43" t="str">
        <f>IF(Data!M23="x","✓","")</f>
        <v/>
      </c>
      <c r="Z13" s="43" t="str">
        <f>IF(Data!M24="x","✓","")</f>
        <v/>
      </c>
      <c r="AA13" s="43" t="str">
        <f>IF(Data!M25="x","✓","")</f>
        <v/>
      </c>
      <c r="AB13" s="43" t="str">
        <f>IF(Data!M26="x","✓","")</f>
        <v/>
      </c>
      <c r="AC13" s="43" t="str">
        <f>IF(Data!M27="x","✓","")</f>
        <v/>
      </c>
      <c r="AD13" s="43" t="str">
        <f>IF(Data!M28="x","✓","")</f>
        <v/>
      </c>
      <c r="AE13" s="44" t="str">
        <f>IF(Data!M29="x","✓","")</f>
        <v>✓</v>
      </c>
      <c r="AF13" s="43" t="str">
        <f>IF(Data!M30="x","✓","")</f>
        <v/>
      </c>
      <c r="AG13" s="43" t="str">
        <f>IF(Data!M31="x","✓","")</f>
        <v/>
      </c>
      <c r="AH13" s="43" t="str">
        <f>IF(Data!M32="x","✓","")</f>
        <v/>
      </c>
      <c r="AI13" s="44" t="str">
        <f>IF(Data!M33="x","✓","")</f>
        <v>✓</v>
      </c>
      <c r="AJ13" s="43" t="str">
        <f>IF(Data!M34="x","✓","")</f>
        <v/>
      </c>
      <c r="AK13" s="43" t="str">
        <f>IF(Data!M35="x","✓","")</f>
        <v/>
      </c>
      <c r="AL13" s="47" t="str">
        <f>IF(Data!M36="x","✓","")</f>
        <v>✓</v>
      </c>
      <c r="AM13" s="43" t="str">
        <f>IF(Data!M37="x","✓","")</f>
        <v/>
      </c>
      <c r="AN13" s="47" t="str">
        <f>IF(Data!M38="x","✓","")</f>
        <v>✓</v>
      </c>
      <c r="AO13" s="44" t="str">
        <f>IF(Data!M39="x","✓","")</f>
        <v>✓</v>
      </c>
      <c r="AP13" s="43" t="str">
        <f>IF(Data!M40="x","✓","")</f>
        <v/>
      </c>
      <c r="AQ13" s="43" t="str">
        <f>IF(Data!M41="x","✓","")</f>
        <v/>
      </c>
      <c r="AR13" s="43" t="str">
        <f>IF(Data!M42="x","✓","")</f>
        <v>✓</v>
      </c>
      <c r="AS13" s="43" t="str">
        <f>IF(Data!M43="x","✓","")</f>
        <v/>
      </c>
      <c r="AT13" s="43" t="str">
        <f>IF(Data!M44="x","✓","")</f>
        <v/>
      </c>
      <c r="AU13" s="43" t="str">
        <f>IF(Data!M45="x","✓","")</f>
        <v/>
      </c>
      <c r="AV13" s="43" t="str">
        <f>IF(Data!M46="x","✓","")</f>
        <v/>
      </c>
      <c r="AW13" s="43" t="str">
        <f>IF(Data!M47="x","✓","")</f>
        <v/>
      </c>
      <c r="AX13" s="43" t="str">
        <f>IF(Data!M48="x","✓","")</f>
        <v/>
      </c>
      <c r="AY13" s="43" t="str">
        <f>IF(Data!M49="x","✓","")</f>
        <v/>
      </c>
      <c r="AZ13" s="43" t="str">
        <f>IF(Data!M50="x","✓","")</f>
        <v/>
      </c>
      <c r="BA13" s="43" t="str">
        <f>IF(Data!M51="x","✓","")</f>
        <v/>
      </c>
      <c r="BB13" s="43" t="str">
        <f>IF(Data!M52="x","✓","")</f>
        <v/>
      </c>
      <c r="BC13" s="43" t="str">
        <f>IF(Data!M53="x","✓","")</f>
        <v/>
      </c>
      <c r="BD13" s="43" t="str">
        <f>IF(Data!M54="x","✓","")</f>
        <v/>
      </c>
      <c r="BE13" s="43" t="str">
        <f>IF(Data!M55="x","✓","")</f>
        <v/>
      </c>
      <c r="BF13" s="43" t="str">
        <f>IF(Data!M56="x","✓","")</f>
        <v/>
      </c>
      <c r="BG13" s="43" t="str">
        <f>IF(Data!M57="x","✓","")</f>
        <v/>
      </c>
      <c r="BH13" s="43" t="str">
        <f>IF(Data!M58="x","✓","")</f>
        <v/>
      </c>
      <c r="BI13" s="43" t="str">
        <f>IF(Data!M59="x","✓","")</f>
        <v/>
      </c>
      <c r="BJ13" s="43" t="str">
        <f>IF(Data!M60="x","✓","")</f>
        <v/>
      </c>
      <c r="BK13" s="43" t="str">
        <f>IF(Data!M61="x","✓","")</f>
        <v/>
      </c>
    </row>
    <row r="14" spans="2:64" ht="15.75" customHeight="1">
      <c r="B14" s="45" t="s">
        <v>12</v>
      </c>
      <c r="C14" s="42">
        <f>COUNTIF(Data!N2:N61,"x")</f>
        <v>7</v>
      </c>
      <c r="D14" s="46" t="str">
        <f>IF(Data!N2="x","✓","")</f>
        <v/>
      </c>
      <c r="E14" s="46" t="str">
        <f>IF(Data!N3="x","✓","")</f>
        <v/>
      </c>
      <c r="F14" s="46" t="str">
        <f>IF(Data!N4="x","✓","")</f>
        <v/>
      </c>
      <c r="G14" s="46" t="str">
        <f>IF(Data!N5="x","✓","")</f>
        <v/>
      </c>
      <c r="H14" s="46" t="str">
        <f>IF(Data!N6="x","✓","")</f>
        <v/>
      </c>
      <c r="I14" s="46" t="str">
        <f>IF(Data!N7="x","✓","")</f>
        <v/>
      </c>
      <c r="J14" s="46" t="str">
        <f>IF(Data!N8="x","✓","")</f>
        <v/>
      </c>
      <c r="K14" s="46" t="str">
        <f>IF(Data!N9="x","✓","")</f>
        <v/>
      </c>
      <c r="L14" s="46" t="str">
        <f>IF(Data!N10="x","✓","")</f>
        <v/>
      </c>
      <c r="M14" s="46" t="str">
        <f>IF(Data!N11="x","✓","")</f>
        <v/>
      </c>
      <c r="N14" s="46" t="str">
        <f>IF(Data!N12="x","✓","")</f>
        <v/>
      </c>
      <c r="O14" s="46" t="str">
        <f>IF(Data!N13="x","✓","")</f>
        <v/>
      </c>
      <c r="P14" s="46" t="str">
        <f>IF(Data!N14="x","✓","")</f>
        <v/>
      </c>
      <c r="Q14" s="46" t="str">
        <f>IF(Data!N15="x","✓","")</f>
        <v/>
      </c>
      <c r="R14" s="46" t="str">
        <f>IF(Data!N16="x","✓","")</f>
        <v/>
      </c>
      <c r="S14" s="46" t="str">
        <f>IF(Data!N17="x","✓","")</f>
        <v/>
      </c>
      <c r="T14" s="46" t="str">
        <f>IF(Data!N18="x","✓","")</f>
        <v/>
      </c>
      <c r="U14" s="44" t="str">
        <f>IF(Data!N19="x","✓","")</f>
        <v>✓</v>
      </c>
      <c r="V14" s="46" t="str">
        <f>IF(Data!N20="x","✓","")</f>
        <v/>
      </c>
      <c r="W14" s="46" t="str">
        <f>IF(Data!N21="x","✓","")</f>
        <v/>
      </c>
      <c r="X14" s="46" t="str">
        <f>IF(Data!N22="x","✓","")</f>
        <v/>
      </c>
      <c r="Y14" s="46" t="str">
        <f>IF(Data!N23="x","✓","")</f>
        <v/>
      </c>
      <c r="Z14" s="46" t="str">
        <f>IF(Data!N24="x","✓","")</f>
        <v/>
      </c>
      <c r="AA14" s="46" t="str">
        <f>IF(Data!N25="x","✓","")</f>
        <v/>
      </c>
      <c r="AB14" s="46" t="str">
        <f>IF(Data!N26="x","✓","")</f>
        <v/>
      </c>
      <c r="AC14" s="46" t="str">
        <f>IF(Data!N27="x","✓","")</f>
        <v/>
      </c>
      <c r="AD14" s="46" t="str">
        <f>IF(Data!N28="x","✓","")</f>
        <v/>
      </c>
      <c r="AE14" s="44" t="str">
        <f>IF(Data!N29="x","✓","")</f>
        <v>✓</v>
      </c>
      <c r="AF14" s="46" t="str">
        <f>IF(Data!N30="x","✓","")</f>
        <v/>
      </c>
      <c r="AG14" s="46" t="str">
        <f>IF(Data!N31="x","✓","")</f>
        <v/>
      </c>
      <c r="AH14" s="46" t="str">
        <f>IF(Data!N32="x","✓","")</f>
        <v/>
      </c>
      <c r="AI14" s="44" t="str">
        <f>IF(Data!N33="x","✓","")</f>
        <v>✓</v>
      </c>
      <c r="AJ14" s="46" t="str">
        <f>IF(Data!N34="x","✓","")</f>
        <v/>
      </c>
      <c r="AK14" s="46" t="str">
        <f>IF(Data!N35="x","✓","")</f>
        <v/>
      </c>
      <c r="AL14" s="47" t="str">
        <f>IF(Data!N36="x","✓","")</f>
        <v>✓</v>
      </c>
      <c r="AM14" s="46" t="str">
        <f>IF(Data!N37="x","✓","")</f>
        <v/>
      </c>
      <c r="AN14" s="47" t="str">
        <f>IF(Data!N38="x","✓","")</f>
        <v>✓</v>
      </c>
      <c r="AO14" s="44" t="str">
        <f>IF(Data!N39="x","✓","")</f>
        <v>✓</v>
      </c>
      <c r="AP14" s="46" t="str">
        <f>IF(Data!N40="x","✓","")</f>
        <v/>
      </c>
      <c r="AQ14" s="46" t="str">
        <f>IF(Data!N41="x","✓","")</f>
        <v/>
      </c>
      <c r="AR14" s="46" t="str">
        <f>IF(Data!N42="x","✓","")</f>
        <v>✓</v>
      </c>
      <c r="AS14" s="46" t="str">
        <f>IF(Data!N43="x","✓","")</f>
        <v/>
      </c>
      <c r="AT14" s="46" t="str">
        <f>IF(Data!N44="x","✓","")</f>
        <v/>
      </c>
      <c r="AU14" s="46" t="str">
        <f>IF(Data!N45="x","✓","")</f>
        <v/>
      </c>
      <c r="AV14" s="46" t="str">
        <f>IF(Data!N46="x","✓","")</f>
        <v/>
      </c>
      <c r="AW14" s="46" t="str">
        <f>IF(Data!N47="x","✓","")</f>
        <v/>
      </c>
      <c r="AX14" s="46" t="str">
        <f>IF(Data!N48="x","✓","")</f>
        <v/>
      </c>
      <c r="AY14" s="46" t="str">
        <f>IF(Data!N49="x","✓","")</f>
        <v/>
      </c>
      <c r="AZ14" s="46" t="str">
        <f>IF(Data!N50="x","✓","")</f>
        <v/>
      </c>
      <c r="BA14" s="46" t="str">
        <f>IF(Data!N51="x","✓","")</f>
        <v/>
      </c>
      <c r="BB14" s="46" t="str">
        <f>IF(Data!N52="x","✓","")</f>
        <v/>
      </c>
      <c r="BC14" s="46" t="str">
        <f>IF(Data!N53="x","✓","")</f>
        <v/>
      </c>
      <c r="BD14" s="46" t="str">
        <f>IF(Data!N54="x","✓","")</f>
        <v/>
      </c>
      <c r="BE14" s="46" t="str">
        <f>IF(Data!N55="x","✓","")</f>
        <v/>
      </c>
      <c r="BF14" s="46" t="str">
        <f>IF(Data!N56="x","✓","")</f>
        <v/>
      </c>
      <c r="BG14" s="46" t="str">
        <f>IF(Data!N57="x","✓","")</f>
        <v/>
      </c>
      <c r="BH14" s="46" t="str">
        <f>IF(Data!N58="x","✓","")</f>
        <v/>
      </c>
      <c r="BI14" s="46" t="str">
        <f>IF(Data!N59="x","✓","")</f>
        <v/>
      </c>
      <c r="BJ14" s="46" t="str">
        <f>IF(Data!N60="x","✓","")</f>
        <v/>
      </c>
      <c r="BK14" s="46" t="str">
        <f>IF(Data!N61="x","✓","")</f>
        <v/>
      </c>
    </row>
    <row r="15" spans="2:64" ht="15.75" customHeight="1">
      <c r="B15" s="41" t="s">
        <v>14</v>
      </c>
      <c r="C15" s="49">
        <f>COUNTIF(Data!O2:O61,"x")</f>
        <v>10</v>
      </c>
      <c r="D15" s="47" t="str">
        <f>IF(Data!O2="x","✓","")</f>
        <v>✓</v>
      </c>
      <c r="E15" s="44" t="str">
        <f>IF(Data!O3="x","✓","")</f>
        <v>✓</v>
      </c>
      <c r="F15" s="43" t="str">
        <f>IF(Data!O4="x","✓","")</f>
        <v/>
      </c>
      <c r="G15" s="43" t="str">
        <f>IF(Data!O5="x","✓","")</f>
        <v/>
      </c>
      <c r="H15" s="43" t="str">
        <f>IF(Data!O6="x","✓","")</f>
        <v/>
      </c>
      <c r="I15" s="43" t="str">
        <f>IF(Data!O7="x","✓","")</f>
        <v/>
      </c>
      <c r="J15" s="43" t="str">
        <f>IF(Data!O8="x","✓","")</f>
        <v/>
      </c>
      <c r="K15" s="43" t="str">
        <f>IF(Data!O9="x","✓","")</f>
        <v/>
      </c>
      <c r="L15" s="43" t="str">
        <f>IF(Data!O10="x","✓","")</f>
        <v/>
      </c>
      <c r="M15" s="43" t="str">
        <f>IF(Data!O11="x","✓","")</f>
        <v/>
      </c>
      <c r="N15" s="43" t="str">
        <f>IF(Data!O12="x","✓","")</f>
        <v/>
      </c>
      <c r="O15" s="43" t="str">
        <f>IF(Data!O13="x","✓","")</f>
        <v/>
      </c>
      <c r="P15" s="43" t="str">
        <f>IF(Data!O14="x","✓","")</f>
        <v/>
      </c>
      <c r="Q15" s="43" t="str">
        <f>IF(Data!O15="x","✓","")</f>
        <v/>
      </c>
      <c r="R15" s="43" t="str">
        <f>IF(Data!O16="x","✓","")</f>
        <v/>
      </c>
      <c r="S15" s="43" t="str">
        <f>IF(Data!O17="x","✓","")</f>
        <v/>
      </c>
      <c r="T15" s="43" t="str">
        <f>IF(Data!O18="x","✓","")</f>
        <v/>
      </c>
      <c r="U15" s="43" t="str">
        <f>IF(Data!O19="x","✓","")</f>
        <v/>
      </c>
      <c r="V15" s="47" t="str">
        <f>IF(Data!O20="x","✓","")</f>
        <v>✓</v>
      </c>
      <c r="W15" s="44" t="str">
        <f>IF(Data!O21="x","✓","")</f>
        <v>✓</v>
      </c>
      <c r="X15" s="43" t="str">
        <f>IF(Data!O22="x","✓","")</f>
        <v/>
      </c>
      <c r="Y15" s="44" t="str">
        <f>IF(Data!O23="x","✓","")</f>
        <v/>
      </c>
      <c r="Z15" s="43" t="str">
        <f>IF(Data!O24="x","✓","")</f>
        <v/>
      </c>
      <c r="AA15" s="44" t="str">
        <f>IF(Data!O25="x","✓","")</f>
        <v>✓</v>
      </c>
      <c r="AB15" s="47" t="str">
        <f>IF(Data!O26="x","✓","")</f>
        <v>✓</v>
      </c>
      <c r="AC15" s="44" t="str">
        <f>IF(Data!O27="x","✓","")</f>
        <v>✓</v>
      </c>
      <c r="AD15" s="43" t="str">
        <f>IF(Data!O28="x","✓","")</f>
        <v/>
      </c>
      <c r="AE15" s="43" t="str">
        <f>IF(Data!O29="x","✓","")</f>
        <v/>
      </c>
      <c r="AF15" s="43" t="str">
        <f>IF(Data!O30="x","✓","")</f>
        <v/>
      </c>
      <c r="AG15" s="43" t="str">
        <f>IF(Data!O31="x","✓","")</f>
        <v/>
      </c>
      <c r="AH15" s="43" t="str">
        <f>IF(Data!O32="x","✓","")</f>
        <v/>
      </c>
      <c r="AI15" s="43" t="str">
        <f>IF(Data!O33="x","✓","")</f>
        <v/>
      </c>
      <c r="AJ15" s="43" t="str">
        <f>IF(Data!O34="x","✓","")</f>
        <v/>
      </c>
      <c r="AK15" s="43" t="str">
        <f>IF(Data!O35="x","✓","")</f>
        <v/>
      </c>
      <c r="AL15" s="43" t="str">
        <f>IF(Data!O36="x","✓","")</f>
        <v/>
      </c>
      <c r="AM15" s="44" t="str">
        <f>IF(Data!O37="x","✓","")</f>
        <v>✓</v>
      </c>
      <c r="AN15" s="43" t="str">
        <f>IF(Data!O38="x","✓","")</f>
        <v/>
      </c>
      <c r="AO15" s="43" t="str">
        <f>IF(Data!O39="x","✓","")</f>
        <v/>
      </c>
      <c r="AP15" s="43" t="str">
        <f>IF(Data!O40="x","✓","")</f>
        <v/>
      </c>
      <c r="AQ15" s="44" t="str">
        <f>IF(Data!O41="x","✓","")</f>
        <v>✓</v>
      </c>
      <c r="AR15" s="43" t="str">
        <f>IF(Data!O42="x","✓","")</f>
        <v>✓</v>
      </c>
      <c r="AS15" s="43" t="str">
        <f>IF(Data!O43="x","✓","")</f>
        <v/>
      </c>
      <c r="AT15" s="43" t="str">
        <f>IF(Data!O44="x","✓","")</f>
        <v/>
      </c>
      <c r="AU15" s="43" t="str">
        <f>IF(Data!O45="x","✓","")</f>
        <v/>
      </c>
      <c r="AV15" s="43" t="str">
        <f>IF(Data!O46="x","✓","")</f>
        <v/>
      </c>
      <c r="AW15" s="43" t="str">
        <f>IF(Data!O47="x","✓","")</f>
        <v/>
      </c>
      <c r="AX15" s="43" t="str">
        <f>IF(Data!O48="x","✓","")</f>
        <v/>
      </c>
      <c r="AY15" s="43" t="str">
        <f>IF(Data!O49="x","✓","")</f>
        <v/>
      </c>
      <c r="AZ15" s="43" t="str">
        <f>IF(Data!O50="x","✓","")</f>
        <v/>
      </c>
      <c r="BA15" s="43" t="str">
        <f>IF(Data!O51="x","✓","")</f>
        <v/>
      </c>
      <c r="BB15" s="43" t="str">
        <f>IF(Data!O52="x","✓","")</f>
        <v/>
      </c>
      <c r="BC15" s="43" t="str">
        <f>IF(Data!O53="x","✓","")</f>
        <v/>
      </c>
      <c r="BD15" s="43" t="str">
        <f>IF(Data!O54="x","✓","")</f>
        <v/>
      </c>
      <c r="BE15" s="43" t="str">
        <f>IF(Data!O55="x","✓","")</f>
        <v/>
      </c>
      <c r="BF15" s="43" t="str">
        <f>IF(Data!O56="x","✓","")</f>
        <v/>
      </c>
      <c r="BG15" s="43" t="str">
        <f>IF(Data!O57="x","✓","")</f>
        <v/>
      </c>
      <c r="BH15" s="43" t="str">
        <f>IF(Data!O58="x","✓","")</f>
        <v/>
      </c>
      <c r="BI15" s="43" t="str">
        <f>IF(Data!O59="x","✓","")</f>
        <v/>
      </c>
      <c r="BJ15" s="43" t="str">
        <f>IF(Data!O60="x","✓","")</f>
        <v/>
      </c>
      <c r="BK15" s="43" t="str">
        <f>IF(Data!O61="x","✓","")</f>
        <v/>
      </c>
    </row>
    <row r="16" spans="2:64" ht="15.75" customHeight="1">
      <c r="B16" s="45" t="s">
        <v>13</v>
      </c>
      <c r="C16" s="49">
        <f>COUNTIF(Data!P2:P61,"x")</f>
        <v>12</v>
      </c>
      <c r="D16" s="47" t="str">
        <f>IF(Data!P2="x","✓","")</f>
        <v>✓</v>
      </c>
      <c r="E16" s="44" t="str">
        <f>IF(Data!P3="x","✓","")</f>
        <v>✓</v>
      </c>
      <c r="F16" s="46" t="str">
        <f>IF(Data!P4="x","✓","")</f>
        <v/>
      </c>
      <c r="G16" s="46" t="str">
        <f>IF(Data!P5="x","✓","")</f>
        <v/>
      </c>
      <c r="H16" s="46" t="str">
        <f>IF(Data!P6="x","✓","")</f>
        <v/>
      </c>
      <c r="I16" s="46" t="str">
        <f>IF(Data!P7="x","✓","")</f>
        <v/>
      </c>
      <c r="J16" s="46" t="str">
        <f>IF(Data!P8="x","✓","")</f>
        <v/>
      </c>
      <c r="K16" s="46" t="str">
        <f>IF(Data!P9="x","✓","")</f>
        <v/>
      </c>
      <c r="L16" s="46" t="str">
        <f>IF(Data!P10="x","✓","")</f>
        <v/>
      </c>
      <c r="M16" s="46" t="str">
        <f>IF(Data!P11="x","✓","")</f>
        <v/>
      </c>
      <c r="N16" s="47" t="str">
        <f>IF(Data!P12="x","✓","")</f>
        <v>✓</v>
      </c>
      <c r="O16" s="46" t="str">
        <f>IF(Data!P13="x","✓","")</f>
        <v/>
      </c>
      <c r="P16" s="46" t="str">
        <f>IF(Data!P14="x","✓","")</f>
        <v/>
      </c>
      <c r="Q16" s="46" t="str">
        <f>IF(Data!P15="x","✓","")</f>
        <v/>
      </c>
      <c r="R16" s="46" t="str">
        <f>IF(Data!P16="x","✓","")</f>
        <v/>
      </c>
      <c r="S16" s="44" t="str">
        <f>IF(Data!P17="x","✓","")</f>
        <v>✓</v>
      </c>
      <c r="T16" s="46" t="str">
        <f>IF(Data!P18="x","✓","")</f>
        <v/>
      </c>
      <c r="U16" s="46" t="str">
        <f>IF(Data!P19="x","✓","")</f>
        <v/>
      </c>
      <c r="V16" s="46" t="str">
        <f>IF(Data!P20="x","✓","")</f>
        <v/>
      </c>
      <c r="W16" s="44" t="str">
        <f>IF(Data!P21="x","✓","")</f>
        <v>✓</v>
      </c>
      <c r="X16" s="46" t="str">
        <f>IF(Data!P22="x","✓","")</f>
        <v/>
      </c>
      <c r="Y16" s="44" t="str">
        <f>IF(Data!P23="x","✓","")</f>
        <v/>
      </c>
      <c r="Z16" s="46" t="str">
        <f>IF(Data!P24="x","✓","")</f>
        <v/>
      </c>
      <c r="AA16" s="44" t="str">
        <f>IF(Data!P25="x","✓","")</f>
        <v>✓</v>
      </c>
      <c r="AB16" s="47" t="str">
        <f>IF(Data!P26="x","✓","")</f>
        <v>✓</v>
      </c>
      <c r="AC16" s="44" t="str">
        <f>IF(Data!P27="x","✓","")</f>
        <v>✓</v>
      </c>
      <c r="AD16" s="46" t="str">
        <f>IF(Data!P28="x","✓","")</f>
        <v/>
      </c>
      <c r="AE16" s="46" t="str">
        <f>IF(Data!P29="x","✓","")</f>
        <v/>
      </c>
      <c r="AF16" s="46" t="str">
        <f>IF(Data!P30="x","✓","")</f>
        <v/>
      </c>
      <c r="AG16" s="46" t="str">
        <f>IF(Data!P31="x","✓","")</f>
        <v/>
      </c>
      <c r="AH16" s="46" t="str">
        <f>IF(Data!P32="x","✓","")</f>
        <v/>
      </c>
      <c r="AI16" s="44" t="str">
        <f>IF(Data!P33="x","✓","")</f>
        <v>✓</v>
      </c>
      <c r="AJ16" s="46" t="str">
        <f>IF(Data!P34="x","✓","")</f>
        <v/>
      </c>
      <c r="AK16" s="46" t="str">
        <f>IF(Data!P35="x","✓","")</f>
        <v/>
      </c>
      <c r="AL16" s="46" t="str">
        <f>IF(Data!P36="x","✓","")</f>
        <v/>
      </c>
      <c r="AM16" s="44" t="str">
        <f>IF(Data!P37="x","✓","")</f>
        <v>✓</v>
      </c>
      <c r="AN16" s="46" t="str">
        <f>IF(Data!P38="x","✓","")</f>
        <v/>
      </c>
      <c r="AO16" s="46" t="str">
        <f>IF(Data!P39="x","✓","")</f>
        <v/>
      </c>
      <c r="AP16" s="46" t="str">
        <f>IF(Data!P40="x","✓","")</f>
        <v/>
      </c>
      <c r="AQ16" s="44" t="str">
        <f>IF(Data!P41="x","✓","")</f>
        <v>✓</v>
      </c>
      <c r="AR16" s="46" t="str">
        <f>IF(Data!P42="x","✓","")</f>
        <v>✓</v>
      </c>
      <c r="AS16" s="46" t="str">
        <f>IF(Data!P43="x","✓","")</f>
        <v/>
      </c>
      <c r="AT16" s="46" t="str">
        <f>IF(Data!P44="x","✓","")</f>
        <v/>
      </c>
      <c r="AU16" s="46" t="str">
        <f>IF(Data!P45="x","✓","")</f>
        <v/>
      </c>
      <c r="AV16" s="46" t="str">
        <f>IF(Data!P46="x","✓","")</f>
        <v/>
      </c>
      <c r="AW16" s="46" t="str">
        <f>IF(Data!P47="x","✓","")</f>
        <v/>
      </c>
      <c r="AX16" s="46" t="str">
        <f>IF(Data!P48="x","✓","")</f>
        <v/>
      </c>
      <c r="AY16" s="46" t="str">
        <f>IF(Data!P49="x","✓","")</f>
        <v/>
      </c>
      <c r="AZ16" s="46" t="str">
        <f>IF(Data!P50="x","✓","")</f>
        <v/>
      </c>
      <c r="BA16" s="46" t="str">
        <f>IF(Data!P51="x","✓","")</f>
        <v/>
      </c>
      <c r="BB16" s="46" t="str">
        <f>IF(Data!P52="x","✓","")</f>
        <v/>
      </c>
      <c r="BC16" s="46" t="str">
        <f>IF(Data!P53="x","✓","")</f>
        <v/>
      </c>
      <c r="BD16" s="46" t="str">
        <f>IF(Data!P54="x","✓","")</f>
        <v/>
      </c>
      <c r="BE16" s="46" t="str">
        <f>IF(Data!P55="x","✓","")</f>
        <v/>
      </c>
      <c r="BF16" s="46" t="str">
        <f>IF(Data!P56="x","✓","")</f>
        <v/>
      </c>
      <c r="BG16" s="46" t="str">
        <f>IF(Data!P57="x","✓","")</f>
        <v/>
      </c>
      <c r="BH16" s="46" t="str">
        <f>IF(Data!P58="x","✓","")</f>
        <v/>
      </c>
      <c r="BI16" s="46" t="str">
        <f>IF(Data!P59="x","✓","")</f>
        <v/>
      </c>
      <c r="BJ16" s="46" t="str">
        <f>IF(Data!P60="x","✓","")</f>
        <v/>
      </c>
      <c r="BK16" s="46" t="str">
        <f>IF(Data!P61="x","✓","")</f>
        <v/>
      </c>
    </row>
    <row r="17" spans="2:63" ht="15.75" customHeight="1">
      <c r="B17" s="41" t="s">
        <v>15</v>
      </c>
      <c r="C17" s="50">
        <f>COUNTIF(Data!Q2:Q61,"x")</f>
        <v>16</v>
      </c>
      <c r="D17" s="47" t="str">
        <f>IF(Data!Q2="x","✓","")</f>
        <v>✓</v>
      </c>
      <c r="E17" s="44" t="str">
        <f>IF(Data!Q3="x","✓","")</f>
        <v>✓</v>
      </c>
      <c r="F17" s="43" t="str">
        <f>IF(Data!Q4="x","✓","")</f>
        <v/>
      </c>
      <c r="G17" s="43" t="str">
        <f>IF(Data!Q5="x","✓","")</f>
        <v/>
      </c>
      <c r="H17" s="43" t="str">
        <f>IF(Data!Q6="x","✓","")</f>
        <v/>
      </c>
      <c r="I17" s="43" t="str">
        <f>IF(Data!Q7="x","✓","")</f>
        <v/>
      </c>
      <c r="J17" s="47" t="str">
        <f>IF(Data!Q8="x","✓","")</f>
        <v>✓</v>
      </c>
      <c r="K17" s="44" t="str">
        <f>IF(Data!Q9="x","✓","")</f>
        <v>✓</v>
      </c>
      <c r="L17" s="43" t="str">
        <f>IF(Data!Q10="x","✓","")</f>
        <v/>
      </c>
      <c r="M17" s="43" t="str">
        <f>IF(Data!Q11="x","✓","")</f>
        <v/>
      </c>
      <c r="N17" s="47" t="str">
        <f>IF(Data!Q12="x","✓","")</f>
        <v>✓</v>
      </c>
      <c r="O17" s="44" t="str">
        <f>IF(Data!Q13="x","✓","")</f>
        <v>✓</v>
      </c>
      <c r="P17" s="43" t="str">
        <f>IF(Data!Q14="x","✓","")</f>
        <v/>
      </c>
      <c r="Q17" s="43" t="str">
        <f>IF(Data!Q15="x","✓","")</f>
        <v/>
      </c>
      <c r="R17" s="43" t="str">
        <f>IF(Data!Q16="x","✓","")</f>
        <v/>
      </c>
      <c r="S17" s="43" t="str">
        <f>IF(Data!Q17="x","✓","")</f>
        <v/>
      </c>
      <c r="T17" s="43" t="str">
        <f>IF(Data!Q18="x","✓","")</f>
        <v/>
      </c>
      <c r="U17" s="43" t="str">
        <f>IF(Data!Q19="x","✓","")</f>
        <v/>
      </c>
      <c r="V17" s="47" t="str">
        <f>IF(Data!Q20="x","✓","")</f>
        <v>✓</v>
      </c>
      <c r="W17" s="44" t="str">
        <f>IF(Data!Q21="x","✓","")</f>
        <v>✓</v>
      </c>
      <c r="X17" s="47" t="str">
        <f>IF(Data!Q22="x","✓","")</f>
        <v>✓</v>
      </c>
      <c r="Y17" s="44" t="str">
        <f>IF(Data!Q23="x","✓","")</f>
        <v>✓</v>
      </c>
      <c r="Z17" s="43" t="str">
        <f>IF(Data!Q24="x","✓","")</f>
        <v/>
      </c>
      <c r="AA17" s="44" t="str">
        <f>IF(Data!Q25="x","✓","")</f>
        <v>✓</v>
      </c>
      <c r="AB17" s="47" t="str">
        <f>IF(Data!Q26="x","✓","")</f>
        <v>✓</v>
      </c>
      <c r="AC17" s="44" t="str">
        <f>IF(Data!Q27="x","✓","")</f>
        <v>✓</v>
      </c>
      <c r="AD17" s="43" t="str">
        <f>IF(Data!Q28="x","✓","")</f>
        <v/>
      </c>
      <c r="AE17" s="43" t="str">
        <f>IF(Data!Q29="x","✓","")</f>
        <v/>
      </c>
      <c r="AF17" s="43" t="str">
        <f>IF(Data!Q30="x","✓","")</f>
        <v/>
      </c>
      <c r="AG17" s="43" t="str">
        <f>IF(Data!Q31="x","✓","")</f>
        <v/>
      </c>
      <c r="AH17" s="43" t="str">
        <f>IF(Data!Q32="x","✓","")</f>
        <v/>
      </c>
      <c r="AI17" s="43" t="str">
        <f>IF(Data!Q33="x","✓","")</f>
        <v/>
      </c>
      <c r="AJ17" s="43" t="str">
        <f>IF(Data!Q34="x","✓","")</f>
        <v/>
      </c>
      <c r="AK17" s="43" t="str">
        <f>IF(Data!Q35="x","✓","")</f>
        <v/>
      </c>
      <c r="AL17" s="43" t="str">
        <f>IF(Data!Q36="x","✓","")</f>
        <v/>
      </c>
      <c r="AM17" s="44" t="str">
        <f>IF(Data!Q37="x","✓","")</f>
        <v>✓</v>
      </c>
      <c r="AN17" s="43" t="str">
        <f>IF(Data!Q38="x","✓","")</f>
        <v/>
      </c>
      <c r="AO17" s="43" t="str">
        <f>IF(Data!Q39="x","✓","")</f>
        <v/>
      </c>
      <c r="AP17" s="43" t="str">
        <f>IF(Data!Q40="x","✓","")</f>
        <v/>
      </c>
      <c r="AQ17" s="44" t="str">
        <f>IF(Data!Q41="x","✓","")</f>
        <v>✓</v>
      </c>
      <c r="AR17" s="43" t="str">
        <f>IF(Data!Q42="x","✓","")</f>
        <v>✓</v>
      </c>
      <c r="AS17" s="43" t="str">
        <f>IF(Data!Q43="x","✓","")</f>
        <v/>
      </c>
      <c r="AT17" s="43" t="str">
        <f>IF(Data!Q44="x","✓","")</f>
        <v/>
      </c>
      <c r="AU17" s="43" t="str">
        <f>IF(Data!Q45="x","✓","")</f>
        <v/>
      </c>
      <c r="AV17" s="43" t="str">
        <f>IF(Data!Q46="x","✓","")</f>
        <v/>
      </c>
      <c r="AW17" s="43" t="str">
        <f>IF(Data!Q47="x","✓","")</f>
        <v/>
      </c>
      <c r="AX17" s="43" t="str">
        <f>IF(Data!Q48="x","✓","")</f>
        <v/>
      </c>
      <c r="AY17" s="43" t="str">
        <f>IF(Data!Q49="x","✓","")</f>
        <v/>
      </c>
      <c r="AZ17" s="43" t="str">
        <f>IF(Data!Q50="x","✓","")</f>
        <v/>
      </c>
      <c r="BA17" s="43" t="str">
        <f>IF(Data!Q51="x","✓","")</f>
        <v/>
      </c>
      <c r="BB17" s="43" t="str">
        <f>IF(Data!Q52="x","✓","")</f>
        <v/>
      </c>
      <c r="BC17" s="43" t="str">
        <f>IF(Data!Q53="x","✓","")</f>
        <v/>
      </c>
      <c r="BD17" s="43" t="str">
        <f>IF(Data!Q54="x","✓","")</f>
        <v/>
      </c>
      <c r="BE17" s="43" t="str">
        <f>IF(Data!Q55="x","✓","")</f>
        <v/>
      </c>
      <c r="BF17" s="43" t="str">
        <f>IF(Data!Q56="x","✓","")</f>
        <v/>
      </c>
      <c r="BG17" s="43" t="str">
        <f>IF(Data!Q57="x","✓","")</f>
        <v/>
      </c>
      <c r="BH17" s="43" t="str">
        <f>IF(Data!Q58="x","✓","")</f>
        <v/>
      </c>
      <c r="BI17" s="43" t="str">
        <f>IF(Data!Q59="x","✓","")</f>
        <v/>
      </c>
      <c r="BJ17" s="43" t="str">
        <f>IF(Data!Q60="x","✓","")</f>
        <v/>
      </c>
      <c r="BK17" s="43" t="str">
        <f>IF(Data!Q61="x","✓","")</f>
        <v/>
      </c>
    </row>
    <row r="18" spans="2:63" ht="15.75" customHeight="1">
      <c r="B18" s="45" t="s">
        <v>16</v>
      </c>
      <c r="C18" s="49">
        <f>COUNTIF(Data!R2:R61,"x")</f>
        <v>12</v>
      </c>
      <c r="D18" s="47" t="str">
        <f>IF(Data!R2="x","✓","")</f>
        <v>✓</v>
      </c>
      <c r="E18" s="44" t="str">
        <f>IF(Data!R3="x","✓","")</f>
        <v>✓</v>
      </c>
      <c r="F18" s="46" t="str">
        <f>IF(Data!R4="x","✓","")</f>
        <v/>
      </c>
      <c r="G18" s="46" t="str">
        <f>IF(Data!R5="x","✓","")</f>
        <v/>
      </c>
      <c r="H18" s="46" t="str">
        <f>IF(Data!R6="x","✓","")</f>
        <v/>
      </c>
      <c r="I18" s="46" t="str">
        <f>IF(Data!R7="x","✓","")</f>
        <v/>
      </c>
      <c r="J18" s="46" t="str">
        <f>IF(Data!R8="x","✓","")</f>
        <v/>
      </c>
      <c r="K18" s="46" t="str">
        <f>IF(Data!R9="x","✓","")</f>
        <v/>
      </c>
      <c r="L18" s="46" t="str">
        <f>IF(Data!R10="x","✓","")</f>
        <v/>
      </c>
      <c r="M18" s="46" t="str">
        <f>IF(Data!R11="x","✓","")</f>
        <v/>
      </c>
      <c r="N18" s="46" t="str">
        <f>IF(Data!R12="x","✓","")</f>
        <v/>
      </c>
      <c r="O18" s="46" t="str">
        <f>IF(Data!R13="x","✓","")</f>
        <v/>
      </c>
      <c r="P18" s="46" t="str">
        <f>IF(Data!R14="x","✓","")</f>
        <v/>
      </c>
      <c r="Q18" s="46" t="str">
        <f>IF(Data!R15="x","✓","")</f>
        <v/>
      </c>
      <c r="R18" s="46" t="str">
        <f>IF(Data!R16="x","✓","")</f>
        <v/>
      </c>
      <c r="S18" s="46" t="str">
        <f>IF(Data!R17="x","✓","")</f>
        <v/>
      </c>
      <c r="T18" s="46" t="str">
        <f>IF(Data!R18="x","✓","")</f>
        <v/>
      </c>
      <c r="U18" s="46" t="str">
        <f>IF(Data!R19="x","✓","")</f>
        <v/>
      </c>
      <c r="V18" s="47" t="str">
        <f>IF(Data!R20="x","✓","")</f>
        <v>✓</v>
      </c>
      <c r="W18" s="44" t="str">
        <f>IF(Data!R21="x","✓","")</f>
        <v>✓</v>
      </c>
      <c r="X18" s="46" t="str">
        <f>IF(Data!R22="x","✓","")</f>
        <v/>
      </c>
      <c r="Y18" s="44" t="str">
        <f>IF(Data!R23="x","✓","")</f>
        <v/>
      </c>
      <c r="Z18" s="46" t="str">
        <f>IF(Data!R24="x","✓","")</f>
        <v/>
      </c>
      <c r="AA18" s="44" t="str">
        <f>IF(Data!R25="x","✓","")</f>
        <v>✓</v>
      </c>
      <c r="AB18" s="47" t="str">
        <f>IF(Data!R26="x","✓","")</f>
        <v>✓</v>
      </c>
      <c r="AC18" s="46" t="str">
        <f>IF(Data!R27="x","✓","")</f>
        <v/>
      </c>
      <c r="AD18" s="47" t="str">
        <f>IF(Data!R28="x","✓","")</f>
        <v>✓</v>
      </c>
      <c r="AE18" s="46" t="str">
        <f>IF(Data!R29="x","✓","")</f>
        <v/>
      </c>
      <c r="AF18" s="46" t="str">
        <f>IF(Data!R30="x","✓","")</f>
        <v/>
      </c>
      <c r="AG18" s="44" t="str">
        <f>IF(Data!R31="x","✓","")</f>
        <v>✓</v>
      </c>
      <c r="AH18" s="46" t="str">
        <f>IF(Data!R32="x","✓","")</f>
        <v/>
      </c>
      <c r="AI18" s="46" t="str">
        <f>IF(Data!R33="x","✓","")</f>
        <v/>
      </c>
      <c r="AJ18" s="46" t="str">
        <f>IF(Data!R34="x","✓","")</f>
        <v/>
      </c>
      <c r="AK18" s="44" t="str">
        <f>IF(Data!R35="x","✓","")</f>
        <v>✓</v>
      </c>
      <c r="AL18" s="46" t="str">
        <f>IF(Data!R36="x","✓","")</f>
        <v/>
      </c>
      <c r="AM18" s="44" t="str">
        <f>IF(Data!R37="x","✓","")</f>
        <v>✓</v>
      </c>
      <c r="AN18" s="46" t="str">
        <f>IF(Data!R38="x","✓","")</f>
        <v/>
      </c>
      <c r="AO18" s="46" t="str">
        <f>IF(Data!R39="x","✓","")</f>
        <v/>
      </c>
      <c r="AP18" s="47" t="str">
        <f>IF(Data!R40="x","✓","")</f>
        <v>✓</v>
      </c>
      <c r="AQ18" s="46" t="str">
        <f>IF(Data!R41="x","✓","")</f>
        <v/>
      </c>
      <c r="AR18" s="46" t="str">
        <f>IF(Data!R42="x","✓","")</f>
        <v>✓</v>
      </c>
      <c r="AS18" s="46" t="str">
        <f>IF(Data!R43="x","✓","")</f>
        <v/>
      </c>
      <c r="AT18" s="46" t="str">
        <f>IF(Data!R44="x","✓","")</f>
        <v/>
      </c>
      <c r="AU18" s="46" t="str">
        <f>IF(Data!R45="x","✓","")</f>
        <v/>
      </c>
      <c r="AV18" s="46" t="str">
        <f>IF(Data!R46="x","✓","")</f>
        <v/>
      </c>
      <c r="AW18" s="46" t="str">
        <f>IF(Data!R47="x","✓","")</f>
        <v/>
      </c>
      <c r="AX18" s="46" t="str">
        <f>IF(Data!R48="x","✓","")</f>
        <v/>
      </c>
      <c r="AY18" s="46" t="str">
        <f>IF(Data!R49="x","✓","")</f>
        <v/>
      </c>
      <c r="AZ18" s="46" t="str">
        <f>IF(Data!R50="x","✓","")</f>
        <v/>
      </c>
      <c r="BA18" s="46" t="str">
        <f>IF(Data!R51="x","✓","")</f>
        <v/>
      </c>
      <c r="BB18" s="46" t="str">
        <f>IF(Data!R52="x","✓","")</f>
        <v/>
      </c>
      <c r="BC18" s="46" t="str">
        <f>IF(Data!R53="x","✓","")</f>
        <v/>
      </c>
      <c r="BD18" s="46" t="str">
        <f>IF(Data!R54="x","✓","")</f>
        <v/>
      </c>
      <c r="BE18" s="46" t="str">
        <f>IF(Data!R55="x","✓","")</f>
        <v/>
      </c>
      <c r="BF18" s="46" t="str">
        <f>IF(Data!R56="x","✓","")</f>
        <v/>
      </c>
      <c r="BG18" s="46" t="str">
        <f>IF(Data!R57="x","✓","")</f>
        <v/>
      </c>
      <c r="BH18" s="46" t="str">
        <f>IF(Data!R58="x","✓","")</f>
        <v/>
      </c>
      <c r="BI18" s="46" t="str">
        <f>IF(Data!R59="x","✓","")</f>
        <v/>
      </c>
      <c r="BJ18" s="46" t="str">
        <f>IF(Data!R60="x","✓","")</f>
        <v/>
      </c>
      <c r="BK18" s="46" t="str">
        <f>IF(Data!R61="x","✓","")</f>
        <v/>
      </c>
    </row>
    <row r="19" spans="2:63" ht="15.75" customHeight="1">
      <c r="B19" s="41" t="s">
        <v>17</v>
      </c>
      <c r="C19" s="42">
        <f>COUNTIF(Data!S2:S61,"x")</f>
        <v>5</v>
      </c>
      <c r="D19" s="43" t="str">
        <f>IF(Data!S2="x","✓","")</f>
        <v/>
      </c>
      <c r="E19" s="43" t="str">
        <f>IF(Data!S3="x","✓","")</f>
        <v/>
      </c>
      <c r="F19" s="43" t="str">
        <f>IF(Data!S4="x","✓","")</f>
        <v/>
      </c>
      <c r="G19" s="43" t="str">
        <f>IF(Data!S5="x","✓","")</f>
        <v/>
      </c>
      <c r="H19" s="43" t="str">
        <f>IF(Data!S6="x","✓","")</f>
        <v/>
      </c>
      <c r="I19" s="43" t="str">
        <f>IF(Data!S7="x","✓","")</f>
        <v/>
      </c>
      <c r="J19" s="43" t="str">
        <f>IF(Data!S8="x","✓","")</f>
        <v/>
      </c>
      <c r="K19" s="43" t="str">
        <f>IF(Data!S9="x","✓","")</f>
        <v/>
      </c>
      <c r="L19" s="43" t="str">
        <f>IF(Data!S10="x","✓","")</f>
        <v/>
      </c>
      <c r="M19" s="43" t="str">
        <f>IF(Data!S11="x","✓","")</f>
        <v/>
      </c>
      <c r="N19" s="43" t="str">
        <f>IF(Data!S12="x","✓","")</f>
        <v/>
      </c>
      <c r="O19" s="43" t="str">
        <f>IF(Data!S13="x","✓","")</f>
        <v/>
      </c>
      <c r="P19" s="43" t="str">
        <f>IF(Data!S14="x","✓","")</f>
        <v/>
      </c>
      <c r="Q19" s="44" t="str">
        <f>IF(Data!S15="x","✓","")</f>
        <v>✓</v>
      </c>
      <c r="R19" s="43" t="str">
        <f>IF(Data!S16="x","✓","")</f>
        <v/>
      </c>
      <c r="S19" s="43" t="str">
        <f>IF(Data!S17="x","✓","")</f>
        <v/>
      </c>
      <c r="T19" s="43" t="str">
        <f>IF(Data!S18="x","✓","")</f>
        <v/>
      </c>
      <c r="U19" s="43" t="str">
        <f>IF(Data!S19="x","✓","")</f>
        <v/>
      </c>
      <c r="V19" s="43" t="str">
        <f>IF(Data!S20="x","✓","")</f>
        <v/>
      </c>
      <c r="W19" s="43" t="str">
        <f>IF(Data!S21="x","✓","")</f>
        <v/>
      </c>
      <c r="X19" s="43" t="str">
        <f>IF(Data!S22="x","✓","")</f>
        <v/>
      </c>
      <c r="Y19" s="43" t="str">
        <f>IF(Data!S23="x","✓","")</f>
        <v/>
      </c>
      <c r="Z19" s="43" t="str">
        <f>IF(Data!S24="x","✓","")</f>
        <v/>
      </c>
      <c r="AA19" s="43" t="str">
        <f>IF(Data!S25="x","✓","")</f>
        <v/>
      </c>
      <c r="AB19" s="43" t="str">
        <f>IF(Data!S26="x","✓","")</f>
        <v/>
      </c>
      <c r="AC19" s="43" t="str">
        <f>IF(Data!S27="x","✓","")</f>
        <v/>
      </c>
      <c r="AD19" s="43" t="str">
        <f>IF(Data!S28="x","✓","")</f>
        <v/>
      </c>
      <c r="AE19" s="43" t="str">
        <f>IF(Data!S29="x","✓","")</f>
        <v/>
      </c>
      <c r="AF19" s="47" t="str">
        <f>IF(Data!S30="x","✓","")</f>
        <v>✓</v>
      </c>
      <c r="AG19" s="43" t="str">
        <f>IF(Data!S31="x","✓","")</f>
        <v/>
      </c>
      <c r="AH19" s="47" t="str">
        <f>IF(Data!S32="x","✓","")</f>
        <v>✓</v>
      </c>
      <c r="AI19" s="43" t="str">
        <f>IF(Data!S33="x","✓","")</f>
        <v/>
      </c>
      <c r="AJ19" s="43" t="str">
        <f>IF(Data!S34="x","✓","")</f>
        <v/>
      </c>
      <c r="AK19" s="44" t="str">
        <f>IF(Data!S35="x","✓","")</f>
        <v>✓</v>
      </c>
      <c r="AL19" s="43" t="str">
        <f>IF(Data!S36="x","✓","")</f>
        <v/>
      </c>
      <c r="AM19" s="43" t="str">
        <f>IF(Data!S37="x","✓","")</f>
        <v/>
      </c>
      <c r="AN19" s="43" t="str">
        <f>IF(Data!S38="x","✓","")</f>
        <v/>
      </c>
      <c r="AO19" s="43" t="str">
        <f>IF(Data!S39="x","✓","")</f>
        <v/>
      </c>
      <c r="AP19" s="43" t="str">
        <f>IF(Data!S40="x","✓","")</f>
        <v/>
      </c>
      <c r="AQ19" s="43" t="str">
        <f>IF(Data!S41="x","✓","")</f>
        <v/>
      </c>
      <c r="AR19" s="43" t="str">
        <f>IF(Data!S42="x","✓","")</f>
        <v>✓</v>
      </c>
      <c r="AS19" s="43" t="str">
        <f>IF(Data!S43="x","✓","")</f>
        <v/>
      </c>
      <c r="AT19" s="43" t="str">
        <f>IF(Data!S44="x","✓","")</f>
        <v/>
      </c>
      <c r="AU19" s="43" t="str">
        <f>IF(Data!S45="x","✓","")</f>
        <v/>
      </c>
      <c r="AV19" s="43" t="str">
        <f>IF(Data!S46="x","✓","")</f>
        <v/>
      </c>
      <c r="AW19" s="43" t="str">
        <f>IF(Data!S47="x","✓","")</f>
        <v/>
      </c>
      <c r="AX19" s="43" t="str">
        <f>IF(Data!S48="x","✓","")</f>
        <v/>
      </c>
      <c r="AY19" s="43" t="str">
        <f>IF(Data!S49="x","✓","")</f>
        <v/>
      </c>
      <c r="AZ19" s="43" t="str">
        <f>IF(Data!S50="x","✓","")</f>
        <v/>
      </c>
      <c r="BA19" s="43" t="str">
        <f>IF(Data!S51="x","✓","")</f>
        <v/>
      </c>
      <c r="BB19" s="43" t="str">
        <f>IF(Data!S52="x","✓","")</f>
        <v/>
      </c>
      <c r="BC19" s="43" t="str">
        <f>IF(Data!S53="x","✓","")</f>
        <v/>
      </c>
      <c r="BD19" s="43" t="str">
        <f>IF(Data!S54="x","✓","")</f>
        <v/>
      </c>
      <c r="BE19" s="43" t="str">
        <f>IF(Data!S55="x","✓","")</f>
        <v/>
      </c>
      <c r="BF19" s="43" t="str">
        <f>IF(Data!S56="x","✓","")</f>
        <v/>
      </c>
      <c r="BG19" s="43" t="str">
        <f>IF(Data!S57="x","✓","")</f>
        <v/>
      </c>
      <c r="BH19" s="43" t="str">
        <f>IF(Data!S58="x","✓","")</f>
        <v/>
      </c>
      <c r="BI19" s="43" t="str">
        <f>IF(Data!S59="x","✓","")</f>
        <v/>
      </c>
      <c r="BJ19" s="43" t="str">
        <f>IF(Data!S60="x","✓","")</f>
        <v/>
      </c>
      <c r="BK19" s="43" t="str">
        <f>IF(Data!S61="x","✓","")</f>
        <v/>
      </c>
    </row>
    <row r="20" spans="2:63" ht="15.75" customHeight="1">
      <c r="B20" s="45" t="s">
        <v>18</v>
      </c>
      <c r="C20" s="42">
        <f>COUNTIF(Data!T2:T61,"x")</f>
        <v>6</v>
      </c>
      <c r="D20" s="46" t="str">
        <f>IF(Data!T2="x","✓","")</f>
        <v/>
      </c>
      <c r="E20" s="46" t="str">
        <f>IF(Data!T3="x","✓","")</f>
        <v/>
      </c>
      <c r="F20" s="46" t="str">
        <f>IF(Data!T4="x","✓","")</f>
        <v/>
      </c>
      <c r="G20" s="46" t="str">
        <f>IF(Data!T5="x","✓","")</f>
        <v/>
      </c>
      <c r="H20" s="46" t="str">
        <f>IF(Data!T6="x","✓","")</f>
        <v/>
      </c>
      <c r="I20" s="46" t="str">
        <f>IF(Data!T7="x","✓","")</f>
        <v/>
      </c>
      <c r="J20" s="46" t="str">
        <f>IF(Data!T8="x","✓","")</f>
        <v/>
      </c>
      <c r="K20" s="46" t="str">
        <f>IF(Data!T9="x","✓","")</f>
        <v/>
      </c>
      <c r="L20" s="46" t="str">
        <f>IF(Data!T10="x","✓","")</f>
        <v/>
      </c>
      <c r="M20" s="46" t="str">
        <f>IF(Data!T11="x","✓","")</f>
        <v/>
      </c>
      <c r="N20" s="46" t="str">
        <f>IF(Data!T12="x","✓","")</f>
        <v/>
      </c>
      <c r="O20" s="46" t="str">
        <f>IF(Data!T13="x","✓","")</f>
        <v/>
      </c>
      <c r="P20" s="46" t="str">
        <f>IF(Data!T14="x","✓","")</f>
        <v/>
      </c>
      <c r="Q20" s="46" t="str">
        <f>IF(Data!T15="x","✓","")</f>
        <v/>
      </c>
      <c r="R20" s="46" t="str">
        <f>IF(Data!T16="x","✓","")</f>
        <v/>
      </c>
      <c r="S20" s="46" t="str">
        <f>IF(Data!T17="x","✓","")</f>
        <v/>
      </c>
      <c r="T20" s="46" t="str">
        <f>IF(Data!T18="x","✓","")</f>
        <v/>
      </c>
      <c r="U20" s="44" t="str">
        <f>IF(Data!T19="x","✓","")</f>
        <v>✓</v>
      </c>
      <c r="V20" s="46" t="str">
        <f>IF(Data!T20="x","✓","")</f>
        <v/>
      </c>
      <c r="W20" s="46" t="str">
        <f>IF(Data!T21="x","✓","")</f>
        <v/>
      </c>
      <c r="X20" s="46" t="str">
        <f>IF(Data!T22="x","✓","")</f>
        <v/>
      </c>
      <c r="Y20" s="46" t="str">
        <f>IF(Data!T23="x","✓","")</f>
        <v/>
      </c>
      <c r="Z20" s="46" t="str">
        <f>IF(Data!T24="x","✓","")</f>
        <v/>
      </c>
      <c r="AA20" s="46" t="str">
        <f>IF(Data!T25="x","✓","")</f>
        <v/>
      </c>
      <c r="AB20" s="46" t="str">
        <f>IF(Data!T26="x","✓","")</f>
        <v/>
      </c>
      <c r="AC20" s="46" t="str">
        <f>IF(Data!T27="x","✓","")</f>
        <v/>
      </c>
      <c r="AD20" s="46" t="str">
        <f>IF(Data!T28="x","✓","")</f>
        <v/>
      </c>
      <c r="AE20" s="44" t="str">
        <f>IF(Data!T29="x","✓","")</f>
        <v>✓</v>
      </c>
      <c r="AF20" s="46" t="str">
        <f>IF(Data!T30="x","✓","")</f>
        <v/>
      </c>
      <c r="AG20" s="46" t="str">
        <f>IF(Data!T31="x","✓","")</f>
        <v/>
      </c>
      <c r="AH20" s="46" t="str">
        <f>IF(Data!T32="x","✓","")</f>
        <v/>
      </c>
      <c r="AI20" s="46" t="str">
        <f>IF(Data!T33="x","✓","")</f>
        <v/>
      </c>
      <c r="AJ20" s="46" t="str">
        <f>IF(Data!T34="x","✓","")</f>
        <v/>
      </c>
      <c r="AK20" s="46" t="str">
        <f>IF(Data!T35="x","✓","")</f>
        <v/>
      </c>
      <c r="AL20" s="47" t="str">
        <f>IF(Data!T36="x","✓","")</f>
        <v>✓</v>
      </c>
      <c r="AM20" s="46" t="str">
        <f>IF(Data!T37="x","✓","")</f>
        <v/>
      </c>
      <c r="AN20" s="47" t="str">
        <f>IF(Data!T38="x","✓","")</f>
        <v>✓</v>
      </c>
      <c r="AO20" s="44" t="str">
        <f>IF(Data!T39="x","✓","")</f>
        <v>✓</v>
      </c>
      <c r="AP20" s="46" t="str">
        <f>IF(Data!T40="x","✓","")</f>
        <v/>
      </c>
      <c r="AQ20" s="46" t="str">
        <f>IF(Data!T41="x","✓","")</f>
        <v/>
      </c>
      <c r="AR20" s="46" t="str">
        <f>IF(Data!T42="x","✓","")</f>
        <v>✓</v>
      </c>
      <c r="AS20" s="46" t="str">
        <f>IF(Data!T43="x","✓","")</f>
        <v/>
      </c>
      <c r="AT20" s="46" t="str">
        <f>IF(Data!T44="x","✓","")</f>
        <v/>
      </c>
      <c r="AU20" s="46" t="str">
        <f>IF(Data!T45="x","✓","")</f>
        <v/>
      </c>
      <c r="AV20" s="46" t="str">
        <f>IF(Data!T46="x","✓","")</f>
        <v/>
      </c>
      <c r="AW20" s="46" t="str">
        <f>IF(Data!T47="x","✓","")</f>
        <v/>
      </c>
      <c r="AX20" s="46" t="str">
        <f>IF(Data!T48="x","✓","")</f>
        <v/>
      </c>
      <c r="AY20" s="46" t="str">
        <f>IF(Data!T49="x","✓","")</f>
        <v/>
      </c>
      <c r="AZ20" s="46" t="str">
        <f>IF(Data!T50="x","✓","")</f>
        <v/>
      </c>
      <c r="BA20" s="46" t="str">
        <f>IF(Data!T51="x","✓","")</f>
        <v/>
      </c>
      <c r="BB20" s="46" t="str">
        <f>IF(Data!T52="x","✓","")</f>
        <v/>
      </c>
      <c r="BC20" s="46" t="str">
        <f>IF(Data!T53="x","✓","")</f>
        <v/>
      </c>
      <c r="BD20" s="46" t="str">
        <f>IF(Data!T54="x","✓","")</f>
        <v/>
      </c>
      <c r="BE20" s="46" t="str">
        <f>IF(Data!T55="x","✓","")</f>
        <v/>
      </c>
      <c r="BF20" s="46" t="str">
        <f>IF(Data!T56="x","✓","")</f>
        <v/>
      </c>
      <c r="BG20" s="46" t="str">
        <f>IF(Data!T57="x","✓","")</f>
        <v/>
      </c>
      <c r="BH20" s="46" t="str">
        <f>IF(Data!T58="x","✓","")</f>
        <v/>
      </c>
      <c r="BI20" s="46" t="str">
        <f>IF(Data!T59="x","✓","")</f>
        <v/>
      </c>
      <c r="BJ20" s="46" t="str">
        <f>IF(Data!T60="x","✓","")</f>
        <v/>
      </c>
      <c r="BK20" s="46" t="str">
        <f>IF(Data!T61="x","✓","")</f>
        <v/>
      </c>
    </row>
    <row r="21" spans="2:63" ht="15.75" customHeight="1">
      <c r="B21" s="41" t="s">
        <v>19</v>
      </c>
      <c r="C21" s="42">
        <f>COUNTIF(Data!U2:U61,"x")</f>
        <v>7</v>
      </c>
      <c r="D21" s="43" t="str">
        <f>IF(Data!U2="x","✓","")</f>
        <v/>
      </c>
      <c r="E21" s="43" t="str">
        <f>IF(Data!U3="x","✓","")</f>
        <v/>
      </c>
      <c r="F21" s="43" t="str">
        <f>IF(Data!U4="x","✓","")</f>
        <v/>
      </c>
      <c r="G21" s="43" t="str">
        <f>IF(Data!U5="x","✓","")</f>
        <v/>
      </c>
      <c r="H21" s="43" t="str">
        <f>IF(Data!U6="x","✓","")</f>
        <v/>
      </c>
      <c r="I21" s="43" t="str">
        <f>IF(Data!U7="x","✓","")</f>
        <v/>
      </c>
      <c r="J21" s="43" t="str">
        <f>IF(Data!U8="x","✓","")</f>
        <v/>
      </c>
      <c r="K21" s="43" t="str">
        <f>IF(Data!U9="x","✓","")</f>
        <v/>
      </c>
      <c r="L21" s="43" t="str">
        <f>IF(Data!U10="x","✓","")</f>
        <v/>
      </c>
      <c r="M21" s="43" t="str">
        <f>IF(Data!U11="x","✓","")</f>
        <v/>
      </c>
      <c r="N21" s="43" t="str">
        <f>IF(Data!U12="x","✓","")</f>
        <v/>
      </c>
      <c r="O21" s="43" t="str">
        <f>IF(Data!U13="x","✓","")</f>
        <v/>
      </c>
      <c r="P21" s="43" t="str">
        <f>IF(Data!U14="x","✓","")</f>
        <v/>
      </c>
      <c r="Q21" s="43" t="str">
        <f>IF(Data!U15="x","✓","")</f>
        <v/>
      </c>
      <c r="R21" s="43" t="str">
        <f>IF(Data!U16="x","✓","")</f>
        <v/>
      </c>
      <c r="S21" s="43" t="str">
        <f>IF(Data!U17="x","✓","")</f>
        <v/>
      </c>
      <c r="T21" s="43" t="str">
        <f>IF(Data!U18="x","✓","")</f>
        <v/>
      </c>
      <c r="U21" s="44" t="str">
        <f>IF(Data!U19="x","✓","")</f>
        <v>✓</v>
      </c>
      <c r="V21" s="43" t="str">
        <f>IF(Data!U20="x","✓","")</f>
        <v/>
      </c>
      <c r="W21" s="43" t="str">
        <f>IF(Data!U21="x","✓","")</f>
        <v/>
      </c>
      <c r="X21" s="43" t="str">
        <f>IF(Data!U22="x","✓","")</f>
        <v/>
      </c>
      <c r="Y21" s="43" t="str">
        <f>IF(Data!U23="x","✓","")</f>
        <v/>
      </c>
      <c r="Z21" s="43" t="str">
        <f>IF(Data!U24="x","✓","")</f>
        <v/>
      </c>
      <c r="AA21" s="43" t="str">
        <f>IF(Data!U25="x","✓","")</f>
        <v/>
      </c>
      <c r="AB21" s="43" t="str">
        <f>IF(Data!U26="x","✓","")</f>
        <v/>
      </c>
      <c r="AC21" s="43" t="str">
        <f>IF(Data!U27="x","✓","")</f>
        <v/>
      </c>
      <c r="AD21" s="43" t="str">
        <f>IF(Data!U28="x","✓","")</f>
        <v/>
      </c>
      <c r="AE21" s="44" t="str">
        <f>IF(Data!U29="x","✓","")</f>
        <v>✓</v>
      </c>
      <c r="AF21" s="43" t="str">
        <f>IF(Data!U30="x","✓","")</f>
        <v/>
      </c>
      <c r="AG21" s="43" t="str">
        <f>IF(Data!U31="x","✓","")</f>
        <v/>
      </c>
      <c r="AH21" s="43" t="str">
        <f>IF(Data!U32="x","✓","")</f>
        <v/>
      </c>
      <c r="AI21" s="44" t="str">
        <f>IF(Data!U33="x","✓","")</f>
        <v>✓</v>
      </c>
      <c r="AJ21" s="43" t="str">
        <f>IF(Data!U34="x","✓","")</f>
        <v/>
      </c>
      <c r="AK21" s="43" t="str">
        <f>IF(Data!U35="x","✓","")</f>
        <v/>
      </c>
      <c r="AL21" s="47" t="str">
        <f>IF(Data!U36="x","✓","")</f>
        <v>✓</v>
      </c>
      <c r="AM21" s="43" t="str">
        <f>IF(Data!U37="x","✓","")</f>
        <v/>
      </c>
      <c r="AN21" s="47" t="str">
        <f>IF(Data!U38="x","✓","")</f>
        <v>✓</v>
      </c>
      <c r="AO21" s="44" t="str">
        <f>IF(Data!U39="x","✓","")</f>
        <v>✓</v>
      </c>
      <c r="AP21" s="43" t="str">
        <f>IF(Data!U40="x","✓","")</f>
        <v/>
      </c>
      <c r="AQ21" s="43" t="str">
        <f>IF(Data!U41="x","✓","")</f>
        <v/>
      </c>
      <c r="AR21" s="43" t="str">
        <f>IF(Data!U42="x","✓","")</f>
        <v>✓</v>
      </c>
      <c r="AS21" s="43" t="str">
        <f>IF(Data!U43="x","✓","")</f>
        <v/>
      </c>
      <c r="AT21" s="43" t="str">
        <f>IF(Data!U44="x","✓","")</f>
        <v/>
      </c>
      <c r="AU21" s="43" t="str">
        <f>IF(Data!U45="x","✓","")</f>
        <v/>
      </c>
      <c r="AV21" s="43" t="str">
        <f>IF(Data!U46="x","✓","")</f>
        <v/>
      </c>
      <c r="AW21" s="43" t="str">
        <f>IF(Data!U47="x","✓","")</f>
        <v/>
      </c>
      <c r="AX21" s="43" t="str">
        <f>IF(Data!U48="x","✓","")</f>
        <v/>
      </c>
      <c r="AY21" s="43" t="str">
        <f>IF(Data!U49="x","✓","")</f>
        <v/>
      </c>
      <c r="AZ21" s="43" t="str">
        <f>IF(Data!U50="x","✓","")</f>
        <v/>
      </c>
      <c r="BA21" s="43" t="str">
        <f>IF(Data!U51="x","✓","")</f>
        <v/>
      </c>
      <c r="BB21" s="43" t="str">
        <f>IF(Data!U52="x","✓","")</f>
        <v/>
      </c>
      <c r="BC21" s="43" t="str">
        <f>IF(Data!U53="x","✓","")</f>
        <v/>
      </c>
      <c r="BD21" s="43" t="str">
        <f>IF(Data!U54="x","✓","")</f>
        <v/>
      </c>
      <c r="BE21" s="43" t="str">
        <f>IF(Data!U55="x","✓","")</f>
        <v/>
      </c>
      <c r="BF21" s="43" t="str">
        <f>IF(Data!U56="x","✓","")</f>
        <v/>
      </c>
      <c r="BG21" s="43" t="str">
        <f>IF(Data!U57="x","✓","")</f>
        <v/>
      </c>
      <c r="BH21" s="43" t="str">
        <f>IF(Data!U58="x","✓","")</f>
        <v/>
      </c>
      <c r="BI21" s="43" t="str">
        <f>IF(Data!U59="x","✓","")</f>
        <v/>
      </c>
      <c r="BJ21" s="43" t="str">
        <f>IF(Data!U60="x","✓","")</f>
        <v/>
      </c>
      <c r="BK21" s="43" t="str">
        <f>IF(Data!U61="x","✓","")</f>
        <v/>
      </c>
    </row>
    <row r="22" spans="2:63" ht="15.75" customHeight="1">
      <c r="B22" s="45" t="s">
        <v>20</v>
      </c>
      <c r="C22" s="42">
        <f>COUNTIF(Data!V2:V61,"x")</f>
        <v>6</v>
      </c>
      <c r="D22" s="46" t="str">
        <f>IF(Data!V2="x","✓","")</f>
        <v/>
      </c>
      <c r="E22" s="46" t="str">
        <f>IF(Data!V3="x","✓","")</f>
        <v/>
      </c>
      <c r="F22" s="46" t="str">
        <f>IF(Data!V4="x","✓","")</f>
        <v/>
      </c>
      <c r="G22" s="46" t="str">
        <f>IF(Data!V5="x","✓","")</f>
        <v/>
      </c>
      <c r="H22" s="46" t="str">
        <f>IF(Data!V6="x","✓","")</f>
        <v/>
      </c>
      <c r="I22" s="46" t="str">
        <f>IF(Data!V7="x","✓","")</f>
        <v/>
      </c>
      <c r="J22" s="46" t="str">
        <f>IF(Data!V8="x","✓","")</f>
        <v/>
      </c>
      <c r="K22" s="46" t="str">
        <f>IF(Data!V9="x","✓","")</f>
        <v/>
      </c>
      <c r="L22" s="46" t="str">
        <f>IF(Data!V10="x","✓","")</f>
        <v/>
      </c>
      <c r="M22" s="46" t="str">
        <f>IF(Data!V11="x","✓","")</f>
        <v/>
      </c>
      <c r="N22" s="46" t="str">
        <f>IF(Data!V12="x","✓","")</f>
        <v/>
      </c>
      <c r="O22" s="46" t="str">
        <f>IF(Data!V13="x","✓","")</f>
        <v/>
      </c>
      <c r="P22" s="46" t="str">
        <f>IF(Data!V14="x","✓","")</f>
        <v/>
      </c>
      <c r="Q22" s="46" t="str">
        <f>IF(Data!V15="x","✓","")</f>
        <v/>
      </c>
      <c r="R22" s="46" t="str">
        <f>IF(Data!V16="x","✓","")</f>
        <v/>
      </c>
      <c r="S22" s="46" t="str">
        <f>IF(Data!V17="x","✓","")</f>
        <v/>
      </c>
      <c r="T22" s="46" t="str">
        <f>IF(Data!V18="x","✓","")</f>
        <v/>
      </c>
      <c r="U22" s="46" t="str">
        <f>IF(Data!V19="x","✓","")</f>
        <v/>
      </c>
      <c r="V22" s="46" t="str">
        <f>IF(Data!V20="x","✓","")</f>
        <v/>
      </c>
      <c r="W22" s="46" t="str">
        <f>IF(Data!V21="x","✓","")</f>
        <v/>
      </c>
      <c r="X22" s="46" t="str">
        <f>IF(Data!V22="x","✓","")</f>
        <v/>
      </c>
      <c r="Y22" s="46" t="str">
        <f>IF(Data!V23="x","✓","")</f>
        <v/>
      </c>
      <c r="Z22" s="46" t="str">
        <f>IF(Data!V24="x","✓","")</f>
        <v/>
      </c>
      <c r="AA22" s="46" t="str">
        <f>IF(Data!V25="x","✓","")</f>
        <v/>
      </c>
      <c r="AB22" s="46" t="str">
        <f>IF(Data!V26="x","✓","")</f>
        <v/>
      </c>
      <c r="AC22" s="46" t="str">
        <f>IF(Data!V27="x","✓","")</f>
        <v/>
      </c>
      <c r="AD22" s="46" t="str">
        <f>IF(Data!V28="x","✓","")</f>
        <v/>
      </c>
      <c r="AE22" s="44" t="str">
        <f>IF(Data!V29="x","✓","")</f>
        <v>✓</v>
      </c>
      <c r="AF22" s="46" t="str">
        <f>IF(Data!V30="x","✓","")</f>
        <v/>
      </c>
      <c r="AG22" s="46" t="str">
        <f>IF(Data!V31="x","✓","")</f>
        <v/>
      </c>
      <c r="AH22" s="46" t="str">
        <f>IF(Data!V32="x","✓","")</f>
        <v/>
      </c>
      <c r="AI22" s="44" t="str">
        <f>IF(Data!V33="x","✓","")</f>
        <v>✓</v>
      </c>
      <c r="AJ22" s="46" t="str">
        <f>IF(Data!V34="x","✓","")</f>
        <v/>
      </c>
      <c r="AK22" s="46" t="str">
        <f>IF(Data!V35="x","✓","")</f>
        <v/>
      </c>
      <c r="AL22" s="47" t="str">
        <f>IF(Data!V36="x","✓","")</f>
        <v>✓</v>
      </c>
      <c r="AM22" s="46" t="str">
        <f>IF(Data!V37="x","✓","")</f>
        <v/>
      </c>
      <c r="AN22" s="47" t="str">
        <f>IF(Data!V38="x","✓","")</f>
        <v>✓</v>
      </c>
      <c r="AO22" s="44" t="str">
        <f>IF(Data!V39="x","✓","")</f>
        <v>✓</v>
      </c>
      <c r="AP22" s="46" t="str">
        <f>IF(Data!V40="x","✓","")</f>
        <v/>
      </c>
      <c r="AQ22" s="46" t="str">
        <f>IF(Data!V41="x","✓","")</f>
        <v/>
      </c>
      <c r="AR22" s="46" t="str">
        <f>IF(Data!V42="x","✓","")</f>
        <v>✓</v>
      </c>
      <c r="AS22" s="46" t="str">
        <f>IF(Data!V43="x","✓","")</f>
        <v/>
      </c>
      <c r="AT22" s="46" t="str">
        <f>IF(Data!V44="x","✓","")</f>
        <v/>
      </c>
      <c r="AU22" s="46" t="str">
        <f>IF(Data!V45="x","✓","")</f>
        <v/>
      </c>
      <c r="AV22" s="46" t="str">
        <f>IF(Data!V46="x","✓","")</f>
        <v/>
      </c>
      <c r="AW22" s="46" t="str">
        <f>IF(Data!V47="x","✓","")</f>
        <v/>
      </c>
      <c r="AX22" s="46" t="str">
        <f>IF(Data!V48="x","✓","")</f>
        <v/>
      </c>
      <c r="AY22" s="46" t="str">
        <f>IF(Data!V49="x","✓","")</f>
        <v/>
      </c>
      <c r="AZ22" s="46" t="str">
        <f>IF(Data!V50="x","✓","")</f>
        <v/>
      </c>
      <c r="BA22" s="46" t="str">
        <f>IF(Data!V51="x","✓","")</f>
        <v/>
      </c>
      <c r="BB22" s="46" t="str">
        <f>IF(Data!V52="x","✓","")</f>
        <v/>
      </c>
      <c r="BC22" s="46" t="str">
        <f>IF(Data!V53="x","✓","")</f>
        <v/>
      </c>
      <c r="BD22" s="46" t="str">
        <f>IF(Data!V54="x","✓","")</f>
        <v/>
      </c>
      <c r="BE22" s="46" t="str">
        <f>IF(Data!V55="x","✓","")</f>
        <v/>
      </c>
      <c r="BF22" s="46" t="str">
        <f>IF(Data!V56="x","✓","")</f>
        <v/>
      </c>
      <c r="BG22" s="46" t="str">
        <f>IF(Data!V57="x","✓","")</f>
        <v/>
      </c>
      <c r="BH22" s="46" t="str">
        <f>IF(Data!V58="x","✓","")</f>
        <v/>
      </c>
      <c r="BI22" s="46" t="str">
        <f>IF(Data!V59="x","✓","")</f>
        <v/>
      </c>
      <c r="BJ22" s="46" t="str">
        <f>IF(Data!V60="x","✓","")</f>
        <v/>
      </c>
      <c r="BK22" s="46" t="str">
        <f>IF(Data!V61="x","✓","")</f>
        <v/>
      </c>
    </row>
    <row r="23" spans="2:63" ht="15.75" customHeight="1">
      <c r="B23" s="41" t="s">
        <v>21</v>
      </c>
      <c r="C23" s="42">
        <f>COUNTIF(Data!W2:W61,"x")</f>
        <v>4</v>
      </c>
      <c r="D23" s="43" t="str">
        <f>IF(Data!W2="x","✓","")</f>
        <v/>
      </c>
      <c r="E23" s="43" t="str">
        <f>IF(Data!W3="x","✓","")</f>
        <v/>
      </c>
      <c r="F23" s="43" t="str">
        <f>IF(Data!W4="x","✓","")</f>
        <v/>
      </c>
      <c r="G23" s="43" t="str">
        <f>IF(Data!W5="x","✓","")</f>
        <v/>
      </c>
      <c r="H23" s="43" t="str">
        <f>IF(Data!W6="x","✓","")</f>
        <v/>
      </c>
      <c r="I23" s="43" t="str">
        <f>IF(Data!W7="x","✓","")</f>
        <v/>
      </c>
      <c r="J23" s="43" t="str">
        <f>IF(Data!W8="x","✓","")</f>
        <v/>
      </c>
      <c r="K23" s="43" t="str">
        <f>IF(Data!W9="x","✓","")</f>
        <v/>
      </c>
      <c r="L23" s="43" t="str">
        <f>IF(Data!W10="x","✓","")</f>
        <v/>
      </c>
      <c r="M23" s="43" t="str">
        <f>IF(Data!W11="x","✓","")</f>
        <v/>
      </c>
      <c r="N23" s="43" t="str">
        <f>IF(Data!W12="x","✓","")</f>
        <v/>
      </c>
      <c r="O23" s="43" t="str">
        <f>IF(Data!W13="x","✓","")</f>
        <v/>
      </c>
      <c r="P23" s="43" t="str">
        <f>IF(Data!W14="x","✓","")</f>
        <v/>
      </c>
      <c r="Q23" s="43" t="str">
        <f>IF(Data!W15="x","✓","")</f>
        <v/>
      </c>
      <c r="R23" s="43" t="str">
        <f>IF(Data!W16="x","✓","")</f>
        <v/>
      </c>
      <c r="S23" s="43" t="str">
        <f>IF(Data!W17="x","✓","")</f>
        <v/>
      </c>
      <c r="T23" s="43" t="str">
        <f>IF(Data!W18="x","✓","")</f>
        <v/>
      </c>
      <c r="U23" s="43" t="str">
        <f>IF(Data!W19="x","✓","")</f>
        <v/>
      </c>
      <c r="V23" s="43" t="str">
        <f>IF(Data!W20="x","✓","")</f>
        <v/>
      </c>
      <c r="W23" s="43" t="str">
        <f>IF(Data!W21="x","✓","")</f>
        <v/>
      </c>
      <c r="X23" s="43" t="str">
        <f>IF(Data!W22="x","✓","")</f>
        <v/>
      </c>
      <c r="Y23" s="43" t="str">
        <f>IF(Data!W23="x","✓","")</f>
        <v/>
      </c>
      <c r="Z23" s="43" t="str">
        <f>IF(Data!W24="x","✓","")</f>
        <v/>
      </c>
      <c r="AA23" s="43" t="str">
        <f>IF(Data!W25="x","✓","")</f>
        <v/>
      </c>
      <c r="AB23" s="43" t="str">
        <f>IF(Data!W26="x","✓","")</f>
        <v/>
      </c>
      <c r="AC23" s="43" t="str">
        <f>IF(Data!W27="x","✓","")</f>
        <v/>
      </c>
      <c r="AD23" s="43" t="str">
        <f>IF(Data!W28="x","✓","")</f>
        <v/>
      </c>
      <c r="AE23" s="43" t="str">
        <f>IF(Data!W29="x","✓","")</f>
        <v/>
      </c>
      <c r="AF23" s="47" t="str">
        <f>IF(Data!W30="x","✓","")</f>
        <v>✓</v>
      </c>
      <c r="AG23" s="43" t="str">
        <f>IF(Data!W31="x","✓","")</f>
        <v/>
      </c>
      <c r="AH23" s="47" t="str">
        <f>IF(Data!W32="x","✓","")</f>
        <v>✓</v>
      </c>
      <c r="AI23" s="43" t="str">
        <f>IF(Data!W33="x","✓","")</f>
        <v/>
      </c>
      <c r="AJ23" s="43" t="str">
        <f>IF(Data!W34="x","✓","")</f>
        <v/>
      </c>
      <c r="AK23" s="43" t="str">
        <f>IF(Data!W35="x","✓","")</f>
        <v/>
      </c>
      <c r="AL23" s="47" t="str">
        <f>IF(Data!W36="x","✓","")</f>
        <v>✓</v>
      </c>
      <c r="AM23" s="43" t="str">
        <f>IF(Data!W37="x","✓","")</f>
        <v/>
      </c>
      <c r="AN23" s="43" t="str">
        <f>IF(Data!W38="x","✓","")</f>
        <v/>
      </c>
      <c r="AO23" s="43" t="str">
        <f>IF(Data!W39="x","✓","")</f>
        <v/>
      </c>
      <c r="AP23" s="43" t="str">
        <f>IF(Data!W40="x","✓","")</f>
        <v/>
      </c>
      <c r="AQ23" s="43" t="str">
        <f>IF(Data!W41="x","✓","")</f>
        <v/>
      </c>
      <c r="AR23" s="43" t="str">
        <f>IF(Data!W42="x","✓","")</f>
        <v>✓</v>
      </c>
      <c r="AS23" s="43" t="str">
        <f>IF(Data!W43="x","✓","")</f>
        <v/>
      </c>
      <c r="AT23" s="43" t="str">
        <f>IF(Data!W44="x","✓","")</f>
        <v/>
      </c>
      <c r="AU23" s="43" t="str">
        <f>IF(Data!W45="x","✓","")</f>
        <v/>
      </c>
      <c r="AV23" s="43" t="str">
        <f>IF(Data!W46="x","✓","")</f>
        <v/>
      </c>
      <c r="AW23" s="43" t="str">
        <f>IF(Data!W47="x","✓","")</f>
        <v/>
      </c>
      <c r="AX23" s="43" t="str">
        <f>IF(Data!W48="x","✓","")</f>
        <v/>
      </c>
      <c r="AY23" s="43" t="str">
        <f>IF(Data!W49="x","✓","")</f>
        <v/>
      </c>
      <c r="AZ23" s="43" t="str">
        <f>IF(Data!W50="x","✓","")</f>
        <v/>
      </c>
      <c r="BA23" s="43" t="str">
        <f>IF(Data!W51="x","✓","")</f>
        <v/>
      </c>
      <c r="BB23" s="43" t="str">
        <f>IF(Data!W52="x","✓","")</f>
        <v/>
      </c>
      <c r="BC23" s="43" t="str">
        <f>IF(Data!W53="x","✓","")</f>
        <v/>
      </c>
      <c r="BD23" s="43" t="str">
        <f>IF(Data!W54="x","✓","")</f>
        <v/>
      </c>
      <c r="BE23" s="43" t="str">
        <f>IF(Data!W55="x","✓","")</f>
        <v/>
      </c>
      <c r="BF23" s="43" t="str">
        <f>IF(Data!W56="x","✓","")</f>
        <v/>
      </c>
      <c r="BG23" s="43" t="str">
        <f>IF(Data!W57="x","✓","")</f>
        <v/>
      </c>
      <c r="BH23" s="43" t="str">
        <f>IF(Data!W58="x","✓","")</f>
        <v/>
      </c>
      <c r="BI23" s="43" t="str">
        <f>IF(Data!W59="x","✓","")</f>
        <v/>
      </c>
      <c r="BJ23" s="43" t="str">
        <f>IF(Data!W60="x","✓","")</f>
        <v/>
      </c>
      <c r="BK23" s="43" t="str">
        <f>IF(Data!W61="x","✓","")</f>
        <v/>
      </c>
    </row>
    <row r="24" spans="2:63" ht="15.75" customHeight="1">
      <c r="B24" s="45" t="s">
        <v>22</v>
      </c>
      <c r="C24" s="42">
        <f>COUNTIF(Data!X2:X61,"x")</f>
        <v>6</v>
      </c>
      <c r="D24" s="46" t="str">
        <f>IF(Data!X2="x","✓","")</f>
        <v/>
      </c>
      <c r="E24" s="46" t="str">
        <f>IF(Data!X3="x","✓","")</f>
        <v/>
      </c>
      <c r="F24" s="46" t="str">
        <f>IF(Data!X4="x","✓","")</f>
        <v/>
      </c>
      <c r="G24" s="46" t="str">
        <f>IF(Data!X5="x","✓","")</f>
        <v/>
      </c>
      <c r="H24" s="46" t="str">
        <f>IF(Data!X6="x","✓","")</f>
        <v/>
      </c>
      <c r="I24" s="46" t="str">
        <f>IF(Data!X7="x","✓","")</f>
        <v/>
      </c>
      <c r="J24" s="46" t="str">
        <f>IF(Data!X8="x","✓","")</f>
        <v/>
      </c>
      <c r="K24" s="46" t="str">
        <f>IF(Data!X9="x","✓","")</f>
        <v/>
      </c>
      <c r="L24" s="46" t="str">
        <f>IF(Data!X10="x","✓","")</f>
        <v/>
      </c>
      <c r="M24" s="46" t="str">
        <f>IF(Data!X11="x","✓","")</f>
        <v/>
      </c>
      <c r="N24" s="46" t="str">
        <f>IF(Data!X12="x","✓","")</f>
        <v/>
      </c>
      <c r="O24" s="46" t="str">
        <f>IF(Data!X13="x","✓","")</f>
        <v/>
      </c>
      <c r="P24" s="46" t="str">
        <f>IF(Data!X14="x","✓","")</f>
        <v/>
      </c>
      <c r="Q24" s="44" t="str">
        <f>IF(Data!X15="x","✓","")</f>
        <v>✓</v>
      </c>
      <c r="R24" s="46" t="str">
        <f>IF(Data!X16="x","✓","")</f>
        <v/>
      </c>
      <c r="S24" s="46" t="str">
        <f>IF(Data!X17="x","✓","")</f>
        <v/>
      </c>
      <c r="T24" s="46" t="str">
        <f>IF(Data!X18="x","✓","")</f>
        <v/>
      </c>
      <c r="U24" s="46" t="str">
        <f>IF(Data!X19="x","✓","")</f>
        <v/>
      </c>
      <c r="V24" s="46" t="str">
        <f>IF(Data!X20="x","✓","")</f>
        <v/>
      </c>
      <c r="W24" s="46" t="str">
        <f>IF(Data!X21="x","✓","")</f>
        <v/>
      </c>
      <c r="X24" s="46" t="str">
        <f>IF(Data!X22="x","✓","")</f>
        <v/>
      </c>
      <c r="Y24" s="46" t="str">
        <f>IF(Data!X23="x","✓","")</f>
        <v/>
      </c>
      <c r="Z24" s="46" t="str">
        <f>IF(Data!X24="x","✓","")</f>
        <v/>
      </c>
      <c r="AA24" s="46" t="str">
        <f>IF(Data!X25="x","✓","")</f>
        <v/>
      </c>
      <c r="AB24" s="46" t="str">
        <f>IF(Data!X26="x","✓","")</f>
        <v/>
      </c>
      <c r="AC24" s="46" t="str">
        <f>IF(Data!X27="x","✓","")</f>
        <v/>
      </c>
      <c r="AD24" s="46" t="str">
        <f>IF(Data!X28="x","✓","")</f>
        <v/>
      </c>
      <c r="AE24" s="46" t="str">
        <f>IF(Data!X29="x","✓","")</f>
        <v/>
      </c>
      <c r="AF24" s="47" t="str">
        <f>IF(Data!X30="x","✓","")</f>
        <v>✓</v>
      </c>
      <c r="AG24" s="44" t="str">
        <f>IF(Data!X31="x","✓","")</f>
        <v>✓</v>
      </c>
      <c r="AH24" s="46" t="str">
        <f>IF(Data!X32="x","✓","")</f>
        <v/>
      </c>
      <c r="AI24" s="46" t="str">
        <f>IF(Data!X33="x","✓","")</f>
        <v/>
      </c>
      <c r="AJ24" s="46" t="str">
        <f>IF(Data!X34="x","✓","")</f>
        <v/>
      </c>
      <c r="AK24" s="44" t="str">
        <f>IF(Data!X35="x","✓","")</f>
        <v>✓</v>
      </c>
      <c r="AL24" s="46" t="str">
        <f>IF(Data!X36="x","✓","")</f>
        <v/>
      </c>
      <c r="AM24" s="46" t="str">
        <f>IF(Data!X37="x","✓","")</f>
        <v/>
      </c>
      <c r="AN24" s="46" t="str">
        <f>IF(Data!X38="x","✓","")</f>
        <v/>
      </c>
      <c r="AO24" s="46" t="str">
        <f>IF(Data!X39="x","✓","")</f>
        <v/>
      </c>
      <c r="AP24" s="47" t="str">
        <f>IF(Data!X40="x","✓","")</f>
        <v>✓</v>
      </c>
      <c r="AQ24" s="46" t="str">
        <f>IF(Data!X41="x","✓","")</f>
        <v/>
      </c>
      <c r="AR24" s="46" t="str">
        <f>IF(Data!X42="x","✓","")</f>
        <v>✓</v>
      </c>
      <c r="AS24" s="46" t="str">
        <f>IF(Data!X43="x","✓","")</f>
        <v/>
      </c>
      <c r="AT24" s="46" t="str">
        <f>IF(Data!X44="x","✓","")</f>
        <v/>
      </c>
      <c r="AU24" s="46" t="str">
        <f>IF(Data!X45="x","✓","")</f>
        <v/>
      </c>
      <c r="AV24" s="46" t="str">
        <f>IF(Data!X46="x","✓","")</f>
        <v/>
      </c>
      <c r="AW24" s="46" t="str">
        <f>IF(Data!X47="x","✓","")</f>
        <v/>
      </c>
      <c r="AX24" s="46" t="str">
        <f>IF(Data!X48="x","✓","")</f>
        <v/>
      </c>
      <c r="AY24" s="46" t="str">
        <f>IF(Data!X49="x","✓","")</f>
        <v/>
      </c>
      <c r="AZ24" s="46" t="str">
        <f>IF(Data!X50="x","✓","")</f>
        <v/>
      </c>
      <c r="BA24" s="46" t="str">
        <f>IF(Data!X51="x","✓","")</f>
        <v/>
      </c>
      <c r="BB24" s="46" t="str">
        <f>IF(Data!X52="x","✓","")</f>
        <v/>
      </c>
      <c r="BC24" s="46" t="str">
        <f>IF(Data!X53="x","✓","")</f>
        <v/>
      </c>
      <c r="BD24" s="46" t="str">
        <f>IF(Data!X54="x","✓","")</f>
        <v/>
      </c>
      <c r="BE24" s="46" t="str">
        <f>IF(Data!X55="x","✓","")</f>
        <v/>
      </c>
      <c r="BF24" s="46" t="str">
        <f>IF(Data!X56="x","✓","")</f>
        <v/>
      </c>
      <c r="BG24" s="46" t="str">
        <f>IF(Data!X57="x","✓","")</f>
        <v/>
      </c>
      <c r="BH24" s="46" t="str">
        <f>IF(Data!X58="x","✓","")</f>
        <v/>
      </c>
      <c r="BI24" s="46" t="str">
        <f>IF(Data!X59="x","✓","")</f>
        <v/>
      </c>
      <c r="BJ24" s="46" t="str">
        <f>IF(Data!X60="x","✓","")</f>
        <v/>
      </c>
      <c r="BK24" s="46" t="str">
        <f>IF(Data!X61="x","✓","")</f>
        <v/>
      </c>
    </row>
    <row r="25" spans="2:63" ht="15.75" customHeight="1">
      <c r="B25" s="41" t="s">
        <v>23</v>
      </c>
      <c r="C25" s="42">
        <f>COUNTIF(Data!Y2:Y61,"x")</f>
        <v>4</v>
      </c>
      <c r="D25" s="43" t="str">
        <f>IF(Data!Y2="x","✓","")</f>
        <v/>
      </c>
      <c r="E25" s="43" t="str">
        <f>IF(Data!Y3="x","✓","")</f>
        <v/>
      </c>
      <c r="F25" s="43" t="str">
        <f>IF(Data!Y4="x","✓","")</f>
        <v/>
      </c>
      <c r="G25" s="43" t="str">
        <f>IF(Data!Y5="x","✓","")</f>
        <v/>
      </c>
      <c r="H25" s="43" t="str">
        <f>IF(Data!Y6="x","✓","")</f>
        <v/>
      </c>
      <c r="I25" s="43" t="str">
        <f>IF(Data!Y7="x","✓","")</f>
        <v/>
      </c>
      <c r="J25" s="43" t="str">
        <f>IF(Data!Y8="x","✓","")</f>
        <v/>
      </c>
      <c r="K25" s="43" t="str">
        <f>IF(Data!Y9="x","✓","")</f>
        <v/>
      </c>
      <c r="L25" s="43" t="str">
        <f>IF(Data!Y10="x","✓","")</f>
        <v/>
      </c>
      <c r="M25" s="43" t="str">
        <f>IF(Data!Y11="x","✓","")</f>
        <v/>
      </c>
      <c r="N25" s="43" t="str">
        <f>IF(Data!Y12="x","✓","")</f>
        <v/>
      </c>
      <c r="O25" s="43" t="str">
        <f>IF(Data!Y13="x","✓","")</f>
        <v/>
      </c>
      <c r="P25" s="43" t="str">
        <f>IF(Data!Y14="x","✓","")</f>
        <v/>
      </c>
      <c r="Q25" s="43" t="str">
        <f>IF(Data!Y15="x","✓","")</f>
        <v/>
      </c>
      <c r="R25" s="43" t="str">
        <f>IF(Data!Y16="x","✓","")</f>
        <v/>
      </c>
      <c r="S25" s="43" t="str">
        <f>IF(Data!Y17="x","✓","")</f>
        <v/>
      </c>
      <c r="T25" s="43" t="str">
        <f>IF(Data!Y18="x","✓","")</f>
        <v/>
      </c>
      <c r="U25" s="43" t="str">
        <f>IF(Data!Y19="x","✓","")</f>
        <v/>
      </c>
      <c r="V25" s="43" t="str">
        <f>IF(Data!Y20="x","✓","")</f>
        <v/>
      </c>
      <c r="W25" s="43" t="str">
        <f>IF(Data!Y21="x","✓","")</f>
        <v/>
      </c>
      <c r="X25" s="43" t="str">
        <f>IF(Data!Y22="x","✓","")</f>
        <v/>
      </c>
      <c r="Y25" s="43" t="str">
        <f>IF(Data!Y23="x","✓","")</f>
        <v/>
      </c>
      <c r="Z25" s="43" t="str">
        <f>IF(Data!Y24="x","✓","")</f>
        <v/>
      </c>
      <c r="AA25" s="43" t="str">
        <f>IF(Data!Y25="x","✓","")</f>
        <v/>
      </c>
      <c r="AB25" s="43" t="str">
        <f>IF(Data!Y26="x","✓","")</f>
        <v/>
      </c>
      <c r="AC25" s="43" t="str">
        <f>IF(Data!Y27="x","✓","")</f>
        <v/>
      </c>
      <c r="AD25" s="43" t="str">
        <f>IF(Data!Y28="x","✓","")</f>
        <v/>
      </c>
      <c r="AE25" s="43" t="str">
        <f>IF(Data!Y29="x","✓","")</f>
        <v/>
      </c>
      <c r="AF25" s="47" t="str">
        <f>IF(Data!Y30="x","✓","")</f>
        <v>✓</v>
      </c>
      <c r="AG25" s="43" t="str">
        <f>IF(Data!Y31="x","✓","")</f>
        <v/>
      </c>
      <c r="AH25" s="47" t="str">
        <f>IF(Data!Y32="x","✓","")</f>
        <v>✓</v>
      </c>
      <c r="AI25" s="43" t="str">
        <f>IF(Data!Y33="x","✓","")</f>
        <v/>
      </c>
      <c r="AJ25" s="43" t="str">
        <f>IF(Data!Y34="x","✓","")</f>
        <v/>
      </c>
      <c r="AK25" s="43" t="str">
        <f>IF(Data!Y35="x","✓","")</f>
        <v/>
      </c>
      <c r="AL25" s="47" t="str">
        <f>IF(Data!Y36="x","✓","")</f>
        <v>✓</v>
      </c>
      <c r="AM25" s="43" t="str">
        <f>IF(Data!Y37="x","✓","")</f>
        <v/>
      </c>
      <c r="AN25" s="43" t="str">
        <f>IF(Data!Y38="x","✓","")</f>
        <v/>
      </c>
      <c r="AO25" s="43" t="str">
        <f>IF(Data!Y39="x","✓","")</f>
        <v/>
      </c>
      <c r="AP25" s="43" t="str">
        <f>IF(Data!Y40="x","✓","")</f>
        <v/>
      </c>
      <c r="AQ25" s="43" t="str">
        <f>IF(Data!Y41="x","✓","")</f>
        <v/>
      </c>
      <c r="AR25" s="43" t="str">
        <f>IF(Data!Y42="x","✓","")</f>
        <v>✓</v>
      </c>
      <c r="AS25" s="43" t="str">
        <f>IF(Data!Y43="x","✓","")</f>
        <v/>
      </c>
      <c r="AT25" s="43" t="str">
        <f>IF(Data!Y44="x","✓","")</f>
        <v/>
      </c>
      <c r="AU25" s="43" t="str">
        <f>IF(Data!Y45="x","✓","")</f>
        <v/>
      </c>
      <c r="AV25" s="43" t="str">
        <f>IF(Data!Y46="x","✓","")</f>
        <v/>
      </c>
      <c r="AW25" s="43" t="str">
        <f>IF(Data!Y47="x","✓","")</f>
        <v/>
      </c>
      <c r="AX25" s="43" t="str">
        <f>IF(Data!Y48="x","✓","")</f>
        <v/>
      </c>
      <c r="AY25" s="43" t="str">
        <f>IF(Data!Y49="x","✓","")</f>
        <v/>
      </c>
      <c r="AZ25" s="43" t="str">
        <f>IF(Data!Y50="x","✓","")</f>
        <v/>
      </c>
      <c r="BA25" s="43" t="str">
        <f>IF(Data!Y51="x","✓","")</f>
        <v/>
      </c>
      <c r="BB25" s="43" t="str">
        <f>IF(Data!Y52="x","✓","")</f>
        <v/>
      </c>
      <c r="BC25" s="43" t="str">
        <f>IF(Data!Y53="x","✓","")</f>
        <v/>
      </c>
      <c r="BD25" s="43" t="str">
        <f>IF(Data!Y54="x","✓","")</f>
        <v/>
      </c>
      <c r="BE25" s="43" t="str">
        <f>IF(Data!Y55="x","✓","")</f>
        <v/>
      </c>
      <c r="BF25" s="43" t="str">
        <f>IF(Data!Y56="x","✓","")</f>
        <v/>
      </c>
      <c r="BG25" s="43" t="str">
        <f>IF(Data!Y57="x","✓","")</f>
        <v/>
      </c>
      <c r="BH25" s="43" t="str">
        <f>IF(Data!Y58="x","✓","")</f>
        <v/>
      </c>
      <c r="BI25" s="43" t="str">
        <f>IF(Data!Y59="x","✓","")</f>
        <v/>
      </c>
      <c r="BJ25" s="43" t="str">
        <f>IF(Data!Y60="x","✓","")</f>
        <v/>
      </c>
      <c r="BK25" s="43" t="str">
        <f>IF(Data!Y61="x","✓","")</f>
        <v/>
      </c>
    </row>
    <row r="26" spans="2:63" ht="15.75" customHeight="1">
      <c r="B26" s="45" t="s">
        <v>24</v>
      </c>
      <c r="C26" s="49">
        <f>COUNTIF(Data!Z2:Z61,"x")</f>
        <v>11</v>
      </c>
      <c r="D26" s="47" t="str">
        <f>IF(Data!Z2="x","✓","")</f>
        <v>✓</v>
      </c>
      <c r="E26" s="44" t="str">
        <f>IF(Data!Z3="x","✓","")</f>
        <v>✓</v>
      </c>
      <c r="F26" s="46" t="str">
        <f>IF(Data!Z4="x","✓","")</f>
        <v/>
      </c>
      <c r="G26" s="46" t="str">
        <f>IF(Data!Z5="x","✓","")</f>
        <v/>
      </c>
      <c r="H26" s="46" t="str">
        <f>IF(Data!Z6="x","✓","")</f>
        <v/>
      </c>
      <c r="I26" s="46" t="str">
        <f>IF(Data!Z7="x","✓","")</f>
        <v/>
      </c>
      <c r="J26" s="46" t="str">
        <f>IF(Data!Z8="x","✓","")</f>
        <v/>
      </c>
      <c r="K26" s="46" t="str">
        <f>IF(Data!Z9="x","✓","")</f>
        <v/>
      </c>
      <c r="L26" s="46" t="str">
        <f>IF(Data!Z10="x","✓","")</f>
        <v/>
      </c>
      <c r="M26" s="46" t="str">
        <f>IF(Data!Z11="x","✓","")</f>
        <v/>
      </c>
      <c r="N26" s="47" t="str">
        <f>IF(Data!Z12="x","✓","")</f>
        <v>✓</v>
      </c>
      <c r="O26" s="46" t="str">
        <f>IF(Data!Z13="x","✓","")</f>
        <v/>
      </c>
      <c r="P26" s="46" t="str">
        <f>IF(Data!Z14="x","✓","")</f>
        <v/>
      </c>
      <c r="Q26" s="46" t="str">
        <f>IF(Data!Z15="x","✓","")</f>
        <v/>
      </c>
      <c r="R26" s="46" t="str">
        <f>IF(Data!Z16="x","✓","")</f>
        <v/>
      </c>
      <c r="S26" s="46" t="str">
        <f>IF(Data!Z17="x","✓","")</f>
        <v/>
      </c>
      <c r="T26" s="46" t="str">
        <f>IF(Data!Z18="x","✓","")</f>
        <v/>
      </c>
      <c r="U26" s="46" t="str">
        <f>IF(Data!Z19="x","✓","")</f>
        <v/>
      </c>
      <c r="V26" s="47" t="str">
        <f>IF(Data!Z20="x","✓","")</f>
        <v>✓</v>
      </c>
      <c r="W26" s="44" t="str">
        <f>IF(Data!Z21="x","✓","")</f>
        <v>✓</v>
      </c>
      <c r="X26" s="46" t="str">
        <f>IF(Data!Z22="x","✓","")</f>
        <v/>
      </c>
      <c r="Y26" s="44" t="str">
        <f>IF(Data!Z23="x","✓","")</f>
        <v/>
      </c>
      <c r="Z26" s="46" t="str">
        <f>IF(Data!Z24="x","✓","")</f>
        <v/>
      </c>
      <c r="AA26" s="44" t="str">
        <f>IF(Data!Z25="x","✓","")</f>
        <v>✓</v>
      </c>
      <c r="AB26" s="47" t="str">
        <f>IF(Data!Z26="x","✓","")</f>
        <v>✓</v>
      </c>
      <c r="AC26" s="44" t="str">
        <f>IF(Data!Z27="x","✓","")</f>
        <v>✓</v>
      </c>
      <c r="AD26" s="46" t="str">
        <f>IF(Data!Z28="x","✓","")</f>
        <v/>
      </c>
      <c r="AE26" s="46" t="str">
        <f>IF(Data!Z29="x","✓","")</f>
        <v/>
      </c>
      <c r="AF26" s="46" t="str">
        <f>IF(Data!Z30="x","✓","")</f>
        <v/>
      </c>
      <c r="AG26" s="46" t="str">
        <f>IF(Data!Z31="x","✓","")</f>
        <v/>
      </c>
      <c r="AH26" s="46" t="str">
        <f>IF(Data!Z32="x","✓","")</f>
        <v/>
      </c>
      <c r="AI26" s="46" t="str">
        <f>IF(Data!Z33="x","✓","")</f>
        <v/>
      </c>
      <c r="AJ26" s="46" t="str">
        <f>IF(Data!Z34="x","✓","")</f>
        <v/>
      </c>
      <c r="AK26" s="46" t="str">
        <f>IF(Data!Z35="x","✓","")</f>
        <v/>
      </c>
      <c r="AL26" s="46" t="str">
        <f>IF(Data!Z36="x","✓","")</f>
        <v/>
      </c>
      <c r="AM26" s="44" t="str">
        <f>IF(Data!Z37="x","✓","")</f>
        <v>✓</v>
      </c>
      <c r="AN26" s="46" t="str">
        <f>IF(Data!Z38="x","✓","")</f>
        <v/>
      </c>
      <c r="AO26" s="46" t="str">
        <f>IF(Data!Z39="x","✓","")</f>
        <v/>
      </c>
      <c r="AP26" s="46" t="str">
        <f>IF(Data!Z40="x","✓","")</f>
        <v/>
      </c>
      <c r="AQ26" s="44" t="str">
        <f>IF(Data!Z41="x","✓","")</f>
        <v>✓</v>
      </c>
      <c r="AR26" s="46" t="str">
        <f>IF(Data!Z42="x","✓","")</f>
        <v>✓</v>
      </c>
      <c r="AS26" s="46" t="str">
        <f>IF(Data!Z43="x","✓","")</f>
        <v/>
      </c>
      <c r="AT26" s="46" t="str">
        <f>IF(Data!Z44="x","✓","")</f>
        <v/>
      </c>
      <c r="AU26" s="46" t="str">
        <f>IF(Data!Z45="x","✓","")</f>
        <v/>
      </c>
      <c r="AV26" s="46" t="str">
        <f>IF(Data!Z46="x","✓","")</f>
        <v/>
      </c>
      <c r="AW26" s="46" t="str">
        <f>IF(Data!Z47="x","✓","")</f>
        <v/>
      </c>
      <c r="AX26" s="46" t="str">
        <f>IF(Data!Z48="x","✓","")</f>
        <v/>
      </c>
      <c r="AY26" s="46" t="str">
        <f>IF(Data!Z49="x","✓","")</f>
        <v/>
      </c>
      <c r="AZ26" s="46" t="str">
        <f>IF(Data!Z50="x","✓","")</f>
        <v/>
      </c>
      <c r="BA26" s="46" t="str">
        <f>IF(Data!Z51="x","✓","")</f>
        <v/>
      </c>
      <c r="BB26" s="46" t="str">
        <f>IF(Data!Z52="x","✓","")</f>
        <v/>
      </c>
      <c r="BC26" s="46" t="str">
        <f>IF(Data!Z53="x","✓","")</f>
        <v/>
      </c>
      <c r="BD26" s="46" t="str">
        <f>IF(Data!Z54="x","✓","")</f>
        <v/>
      </c>
      <c r="BE26" s="46" t="str">
        <f>IF(Data!Z55="x","✓","")</f>
        <v/>
      </c>
      <c r="BF26" s="46" t="str">
        <f>IF(Data!Z56="x","✓","")</f>
        <v/>
      </c>
      <c r="BG26" s="46" t="str">
        <f>IF(Data!Z57="x","✓","")</f>
        <v/>
      </c>
      <c r="BH26" s="46" t="str">
        <f>IF(Data!Z58="x","✓","")</f>
        <v/>
      </c>
      <c r="BI26" s="46" t="str">
        <f>IF(Data!Z59="x","✓","")</f>
        <v/>
      </c>
      <c r="BJ26" s="46" t="str">
        <f>IF(Data!Z60="x","✓","")</f>
        <v/>
      </c>
      <c r="BK26" s="46" t="str">
        <f>IF(Data!Z61="x","✓","")</f>
        <v/>
      </c>
    </row>
    <row r="27" spans="2:63" ht="15.75" customHeight="1">
      <c r="B27" s="41" t="s">
        <v>25</v>
      </c>
      <c r="C27" s="49">
        <f>COUNTIF(Data!AA2:AA61,"x")</f>
        <v>13</v>
      </c>
      <c r="D27" s="47" t="str">
        <f>IF(Data!AA2="x","✓","")</f>
        <v>✓</v>
      </c>
      <c r="E27" s="44" t="str">
        <f>IF(Data!AA3="x","✓","")</f>
        <v>✓</v>
      </c>
      <c r="F27" s="47" t="str">
        <f>IF(Data!AA4="x","✓","")</f>
        <v>✓</v>
      </c>
      <c r="G27" s="43" t="str">
        <f>IF(Data!AA5="x","✓","")</f>
        <v/>
      </c>
      <c r="H27" s="43" t="str">
        <f>IF(Data!AA6="x","✓","")</f>
        <v/>
      </c>
      <c r="I27" s="43" t="str">
        <f>IF(Data!AA7="x","✓","")</f>
        <v/>
      </c>
      <c r="J27" s="43" t="str">
        <f>IF(Data!AA8="x","✓","")</f>
        <v/>
      </c>
      <c r="K27" s="44" t="str">
        <f>IF(Data!AA9="x","✓","")</f>
        <v>✓</v>
      </c>
      <c r="L27" s="43" t="str">
        <f>IF(Data!AA10="x","✓","")</f>
        <v/>
      </c>
      <c r="M27" s="43" t="str">
        <f>IF(Data!AA11="x","✓","")</f>
        <v/>
      </c>
      <c r="N27" s="43" t="str">
        <f>IF(Data!AA12="x","✓","")</f>
        <v/>
      </c>
      <c r="O27" s="43" t="str">
        <f>IF(Data!AA13="x","✓","")</f>
        <v/>
      </c>
      <c r="P27" s="43" t="str">
        <f>IF(Data!AA14="x","✓","")</f>
        <v/>
      </c>
      <c r="Q27" s="43" t="str">
        <f>IF(Data!AA15="x","✓","")</f>
        <v/>
      </c>
      <c r="R27" s="43" t="str">
        <f>IF(Data!AA16="x","✓","")</f>
        <v/>
      </c>
      <c r="S27" s="43" t="str">
        <f>IF(Data!AA17="x","✓","")</f>
        <v/>
      </c>
      <c r="T27" s="43" t="str">
        <f>IF(Data!AA18="x","✓","")</f>
        <v/>
      </c>
      <c r="U27" s="43" t="str">
        <f>IF(Data!AA19="x","✓","")</f>
        <v/>
      </c>
      <c r="V27" s="47" t="str">
        <f>IF(Data!AA20="x","✓","")</f>
        <v>✓</v>
      </c>
      <c r="W27" s="44" t="str">
        <f>IF(Data!AA21="x","✓","")</f>
        <v>✓</v>
      </c>
      <c r="X27" s="43" t="str">
        <f>IF(Data!AA22="x","✓","")</f>
        <v/>
      </c>
      <c r="Y27" s="44" t="str">
        <f>IF(Data!AA23="x","✓","")</f>
        <v/>
      </c>
      <c r="Z27" s="47" t="str">
        <f>IF(Data!AA24="x","✓","")</f>
        <v>✓</v>
      </c>
      <c r="AA27" s="44" t="str">
        <f>IF(Data!AA25="x","✓","")</f>
        <v>✓</v>
      </c>
      <c r="AB27" s="47" t="str">
        <f>IF(Data!AA26="x","✓","")</f>
        <v>✓</v>
      </c>
      <c r="AC27" s="44" t="str">
        <f>IF(Data!AA27="x","✓","")</f>
        <v>✓</v>
      </c>
      <c r="AD27" s="43" t="str">
        <f>IF(Data!AA28="x","✓","")</f>
        <v/>
      </c>
      <c r="AE27" s="43" t="str">
        <f>IF(Data!AA29="x","✓","")</f>
        <v/>
      </c>
      <c r="AF27" s="43" t="str">
        <f>IF(Data!AA30="x","✓","")</f>
        <v/>
      </c>
      <c r="AG27" s="43" t="str">
        <f>IF(Data!AA31="x","✓","")</f>
        <v/>
      </c>
      <c r="AH27" s="43" t="str">
        <f>IF(Data!AA32="x","✓","")</f>
        <v/>
      </c>
      <c r="AI27" s="43" t="str">
        <f>IF(Data!AA33="x","✓","")</f>
        <v/>
      </c>
      <c r="AJ27" s="43" t="str">
        <f>IF(Data!AA34="x","✓","")</f>
        <v/>
      </c>
      <c r="AK27" s="43" t="str">
        <f>IF(Data!AA35="x","✓","")</f>
        <v/>
      </c>
      <c r="AL27" s="43" t="str">
        <f>IF(Data!AA36="x","✓","")</f>
        <v/>
      </c>
      <c r="AM27" s="44" t="str">
        <f>IF(Data!AA37="x","✓","")</f>
        <v>✓</v>
      </c>
      <c r="AN27" s="43" t="str">
        <f>IF(Data!AA38="x","✓","")</f>
        <v/>
      </c>
      <c r="AO27" s="43" t="str">
        <f>IF(Data!AA39="x","✓","")</f>
        <v/>
      </c>
      <c r="AP27" s="43" t="str">
        <f>IF(Data!AA40="x","✓","")</f>
        <v/>
      </c>
      <c r="AQ27" s="44" t="str">
        <f>IF(Data!AA41="x","✓","")</f>
        <v>✓</v>
      </c>
      <c r="AR27" s="43" t="str">
        <f>IF(Data!AA42="x","✓","")</f>
        <v>✓</v>
      </c>
      <c r="AS27" s="43" t="str">
        <f>IF(Data!AA43="x","✓","")</f>
        <v/>
      </c>
      <c r="AT27" s="43" t="str">
        <f>IF(Data!AA44="x","✓","")</f>
        <v/>
      </c>
      <c r="AU27" s="43" t="str">
        <f>IF(Data!AA45="x","✓","")</f>
        <v/>
      </c>
      <c r="AV27" s="43" t="str">
        <f>IF(Data!AA46="x","✓","")</f>
        <v/>
      </c>
      <c r="AW27" s="43" t="str">
        <f>IF(Data!AA47="x","✓","")</f>
        <v/>
      </c>
      <c r="AX27" s="43" t="str">
        <f>IF(Data!AA48="x","✓","")</f>
        <v/>
      </c>
      <c r="AY27" s="43" t="str">
        <f>IF(Data!AA49="x","✓","")</f>
        <v/>
      </c>
      <c r="AZ27" s="43" t="str">
        <f>IF(Data!AA50="x","✓","")</f>
        <v/>
      </c>
      <c r="BA27" s="43" t="str">
        <f>IF(Data!AA51="x","✓","")</f>
        <v/>
      </c>
      <c r="BB27" s="43" t="str">
        <f>IF(Data!AA52="x","✓","")</f>
        <v/>
      </c>
      <c r="BC27" s="43" t="str">
        <f>IF(Data!AA53="x","✓","")</f>
        <v/>
      </c>
      <c r="BD27" s="43" t="str">
        <f>IF(Data!AA54="x","✓","")</f>
        <v/>
      </c>
      <c r="BE27" s="43" t="str">
        <f>IF(Data!AA55="x","✓","")</f>
        <v/>
      </c>
      <c r="BF27" s="43" t="str">
        <f>IF(Data!AA56="x","✓","")</f>
        <v/>
      </c>
      <c r="BG27" s="43" t="str">
        <f>IF(Data!AA57="x","✓","")</f>
        <v/>
      </c>
      <c r="BH27" s="43" t="str">
        <f>IF(Data!AA58="x","✓","")</f>
        <v/>
      </c>
      <c r="BI27" s="43" t="str">
        <f>IF(Data!AA59="x","✓","")</f>
        <v/>
      </c>
      <c r="BJ27" s="43" t="str">
        <f>IF(Data!AA60="x","✓","")</f>
        <v/>
      </c>
      <c r="BK27" s="43" t="str">
        <f>IF(Data!AA61="x","✓","")</f>
        <v/>
      </c>
    </row>
    <row r="28" spans="2:63" ht="15.75" customHeight="1">
      <c r="B28" s="45" t="s">
        <v>26</v>
      </c>
      <c r="C28" s="42">
        <f>COUNTIF(Data!AB2:AB61,"x")</f>
        <v>5</v>
      </c>
      <c r="D28" s="46" t="str">
        <f>IF(Data!AB2="x","✓","")</f>
        <v/>
      </c>
      <c r="E28" s="46" t="str">
        <f>IF(Data!AB3="x","✓","")</f>
        <v/>
      </c>
      <c r="F28" s="46" t="str">
        <f>IF(Data!AB4="x","✓","")</f>
        <v/>
      </c>
      <c r="G28" s="46" t="str">
        <f>IF(Data!AB5="x","✓","")</f>
        <v/>
      </c>
      <c r="H28" s="46" t="str">
        <f>IF(Data!AB6="x","✓","")</f>
        <v/>
      </c>
      <c r="I28" s="46" t="str">
        <f>IF(Data!AB7="x","✓","")</f>
        <v/>
      </c>
      <c r="J28" s="46" t="str">
        <f>IF(Data!AB8="x","✓","")</f>
        <v/>
      </c>
      <c r="K28" s="46" t="str">
        <f>IF(Data!AB9="x","✓","")</f>
        <v/>
      </c>
      <c r="L28" s="46" t="str">
        <f>IF(Data!AB10="x","✓","")</f>
        <v/>
      </c>
      <c r="M28" s="46" t="str">
        <f>IF(Data!AB11="x","✓","")</f>
        <v/>
      </c>
      <c r="N28" s="46" t="str">
        <f>IF(Data!AB12="x","✓","")</f>
        <v/>
      </c>
      <c r="O28" s="46" t="str">
        <f>IF(Data!AB13="x","✓","")</f>
        <v/>
      </c>
      <c r="P28" s="46" t="str">
        <f>IF(Data!AB14="x","✓","")</f>
        <v/>
      </c>
      <c r="Q28" s="44" t="str">
        <f>IF(Data!AB15="x","✓","")</f>
        <v>✓</v>
      </c>
      <c r="R28" s="46" t="str">
        <f>IF(Data!AB16="x","✓","")</f>
        <v/>
      </c>
      <c r="S28" s="46" t="str">
        <f>IF(Data!AB17="x","✓","")</f>
        <v/>
      </c>
      <c r="T28" s="46" t="str">
        <f>IF(Data!AB18="x","✓","")</f>
        <v/>
      </c>
      <c r="U28" s="46" t="str">
        <f>IF(Data!AB19="x","✓","")</f>
        <v/>
      </c>
      <c r="V28" s="46" t="str">
        <f>IF(Data!AB20="x","✓","")</f>
        <v/>
      </c>
      <c r="W28" s="46" t="str">
        <f>IF(Data!AB21="x","✓","")</f>
        <v/>
      </c>
      <c r="X28" s="46" t="str">
        <f>IF(Data!AB22="x","✓","")</f>
        <v/>
      </c>
      <c r="Y28" s="46" t="str">
        <f>IF(Data!AB23="x","✓","")</f>
        <v/>
      </c>
      <c r="Z28" s="46" t="str">
        <f>IF(Data!AB24="x","✓","")</f>
        <v/>
      </c>
      <c r="AA28" s="46" t="str">
        <f>IF(Data!AB25="x","✓","")</f>
        <v/>
      </c>
      <c r="AB28" s="46" t="str">
        <f>IF(Data!AB26="x","✓","")</f>
        <v/>
      </c>
      <c r="AC28" s="46" t="str">
        <f>IF(Data!AB27="x","✓","")</f>
        <v/>
      </c>
      <c r="AD28" s="46" t="str">
        <f>IF(Data!AB28="x","✓","")</f>
        <v/>
      </c>
      <c r="AE28" s="46" t="str">
        <f>IF(Data!AB29="x","✓","")</f>
        <v/>
      </c>
      <c r="AF28" s="47" t="str">
        <f>IF(Data!AB30="x","✓","")</f>
        <v>✓</v>
      </c>
      <c r="AG28" s="46" t="str">
        <f>IF(Data!AB31="x","✓","")</f>
        <v/>
      </c>
      <c r="AH28" s="46" t="str">
        <f>IF(Data!AB32="x","✓","")</f>
        <v/>
      </c>
      <c r="AI28" s="46" t="str">
        <f>IF(Data!AB33="x","✓","")</f>
        <v/>
      </c>
      <c r="AJ28" s="46" t="str">
        <f>IF(Data!AB34="x","✓","")</f>
        <v/>
      </c>
      <c r="AK28" s="44" t="str">
        <f>IF(Data!AB35="x","✓","")</f>
        <v>✓</v>
      </c>
      <c r="AL28" s="46" t="str">
        <f>IF(Data!AB36="x","✓","")</f>
        <v/>
      </c>
      <c r="AM28" s="46" t="str">
        <f>IF(Data!AB37="x","✓","")</f>
        <v/>
      </c>
      <c r="AN28" s="46" t="str">
        <f>IF(Data!AB38="x","✓","")</f>
        <v/>
      </c>
      <c r="AO28" s="46" t="str">
        <f>IF(Data!AB39="x","✓","")</f>
        <v/>
      </c>
      <c r="AP28" s="47" t="str">
        <f>IF(Data!AB40="x","✓","")</f>
        <v>✓</v>
      </c>
      <c r="AQ28" s="46" t="str">
        <f>IF(Data!AB41="x","✓","")</f>
        <v/>
      </c>
      <c r="AR28" s="46" t="str">
        <f>IF(Data!AB42="x","✓","")</f>
        <v>✓</v>
      </c>
      <c r="AS28" s="46" t="str">
        <f>IF(Data!AB43="x","✓","")</f>
        <v/>
      </c>
      <c r="AT28" s="46" t="str">
        <f>IF(Data!AB44="x","✓","")</f>
        <v/>
      </c>
      <c r="AU28" s="46" t="str">
        <f>IF(Data!AB45="x","✓","")</f>
        <v/>
      </c>
      <c r="AV28" s="46" t="str">
        <f>IF(Data!AB46="x","✓","")</f>
        <v/>
      </c>
      <c r="AW28" s="46" t="str">
        <f>IF(Data!AB47="x","✓","")</f>
        <v/>
      </c>
      <c r="AX28" s="46" t="str">
        <f>IF(Data!AB48="x","✓","")</f>
        <v/>
      </c>
      <c r="AY28" s="46" t="str">
        <f>IF(Data!AB49="x","✓","")</f>
        <v/>
      </c>
      <c r="AZ28" s="46" t="str">
        <f>IF(Data!AB50="x","✓","")</f>
        <v/>
      </c>
      <c r="BA28" s="46" t="str">
        <f>IF(Data!AB51="x","✓","")</f>
        <v/>
      </c>
      <c r="BB28" s="46" t="str">
        <f>IF(Data!AB52="x","✓","")</f>
        <v/>
      </c>
      <c r="BC28" s="46" t="str">
        <f>IF(Data!AB53="x","✓","")</f>
        <v/>
      </c>
      <c r="BD28" s="46" t="str">
        <f>IF(Data!AB54="x","✓","")</f>
        <v/>
      </c>
      <c r="BE28" s="46" t="str">
        <f>IF(Data!AB55="x","✓","")</f>
        <v/>
      </c>
      <c r="BF28" s="46" t="str">
        <f>IF(Data!AB56="x","✓","")</f>
        <v/>
      </c>
      <c r="BG28" s="46" t="str">
        <f>IF(Data!AB57="x","✓","")</f>
        <v/>
      </c>
      <c r="BH28" s="46" t="str">
        <f>IF(Data!AB58="x","✓","")</f>
        <v/>
      </c>
      <c r="BI28" s="46" t="str">
        <f>IF(Data!AB59="x","✓","")</f>
        <v/>
      </c>
      <c r="BJ28" s="46" t="str">
        <f>IF(Data!AB60="x","✓","")</f>
        <v/>
      </c>
      <c r="BK28" s="46" t="str">
        <f>IF(Data!AB61="x","✓","")</f>
        <v/>
      </c>
    </row>
    <row r="29" spans="2:63" ht="15.75" customHeight="1">
      <c r="B29" s="41" t="s">
        <v>27</v>
      </c>
      <c r="C29" s="49">
        <f>COUNTIF(Data!AC2:AC61,"x")</f>
        <v>10</v>
      </c>
      <c r="D29" s="47" t="str">
        <f>IF(Data!AC2="x","✓","")</f>
        <v>✓</v>
      </c>
      <c r="E29" s="44" t="str">
        <f>IF(Data!AC3="x","✓","")</f>
        <v>✓</v>
      </c>
      <c r="F29" s="43" t="str">
        <f>IF(Data!AC4="x","✓","")</f>
        <v/>
      </c>
      <c r="G29" s="43" t="str">
        <f>IF(Data!AC5="x","✓","")</f>
        <v/>
      </c>
      <c r="H29" s="43" t="str">
        <f>IF(Data!AC6="x","✓","")</f>
        <v/>
      </c>
      <c r="I29" s="43" t="str">
        <f>IF(Data!AC7="x","✓","")</f>
        <v/>
      </c>
      <c r="J29" s="43" t="str">
        <f>IF(Data!AC8="x","✓","")</f>
        <v/>
      </c>
      <c r="K29" s="43" t="str">
        <f>IF(Data!AC9="x","✓","")</f>
        <v/>
      </c>
      <c r="L29" s="43" t="str">
        <f>IF(Data!AC10="x","✓","")</f>
        <v/>
      </c>
      <c r="M29" s="43" t="str">
        <f>IF(Data!AC11="x","✓","")</f>
        <v/>
      </c>
      <c r="N29" s="43" t="str">
        <f>IF(Data!AC12="x","✓","")</f>
        <v/>
      </c>
      <c r="O29" s="43" t="str">
        <f>IF(Data!AC13="x","✓","")</f>
        <v/>
      </c>
      <c r="P29" s="43" t="str">
        <f>IF(Data!AC14="x","✓","")</f>
        <v/>
      </c>
      <c r="Q29" s="43" t="str">
        <f>IF(Data!AC15="x","✓","")</f>
        <v/>
      </c>
      <c r="R29" s="43" t="str">
        <f>IF(Data!AC16="x","✓","")</f>
        <v/>
      </c>
      <c r="S29" s="43" t="str">
        <f>IF(Data!AC17="x","✓","")</f>
        <v/>
      </c>
      <c r="T29" s="43" t="str">
        <f>IF(Data!AC18="x","✓","")</f>
        <v/>
      </c>
      <c r="U29" s="43" t="str">
        <f>IF(Data!AC19="x","✓","")</f>
        <v/>
      </c>
      <c r="V29" s="47" t="str">
        <f>IF(Data!AC20="x","✓","")</f>
        <v>✓</v>
      </c>
      <c r="W29" s="44" t="str">
        <f>IF(Data!AC21="x","✓","")</f>
        <v>✓</v>
      </c>
      <c r="X29" s="43" t="str">
        <f>IF(Data!AC22="x","✓","")</f>
        <v/>
      </c>
      <c r="Y29" s="44" t="str">
        <f>IF(Data!AC23="x","✓","")</f>
        <v/>
      </c>
      <c r="Z29" s="43" t="str">
        <f>IF(Data!AC24="x","✓","")</f>
        <v/>
      </c>
      <c r="AA29" s="44" t="str">
        <f>IF(Data!AC25="x","✓","")</f>
        <v>✓</v>
      </c>
      <c r="AB29" s="47" t="str">
        <f>IF(Data!AC26="x","✓","")</f>
        <v>✓</v>
      </c>
      <c r="AC29" s="44" t="str">
        <f>IF(Data!AC27="x","✓","")</f>
        <v>✓</v>
      </c>
      <c r="AD29" s="43" t="str">
        <f>IF(Data!AC28="x","✓","")</f>
        <v/>
      </c>
      <c r="AE29" s="43" t="str">
        <f>IF(Data!AC29="x","✓","")</f>
        <v/>
      </c>
      <c r="AF29" s="43" t="str">
        <f>IF(Data!AC30="x","✓","")</f>
        <v/>
      </c>
      <c r="AG29" s="43" t="str">
        <f>IF(Data!AC31="x","✓","")</f>
        <v/>
      </c>
      <c r="AH29" s="43" t="str">
        <f>IF(Data!AC32="x","✓","")</f>
        <v/>
      </c>
      <c r="AI29" s="43" t="str">
        <f>IF(Data!AC33="x","✓","")</f>
        <v/>
      </c>
      <c r="AJ29" s="43" t="str">
        <f>IF(Data!AC34="x","✓","")</f>
        <v/>
      </c>
      <c r="AK29" s="43" t="str">
        <f>IF(Data!AC35="x","✓","")</f>
        <v/>
      </c>
      <c r="AL29" s="43" t="str">
        <f>IF(Data!AC36="x","✓","")</f>
        <v/>
      </c>
      <c r="AM29" s="44" t="str">
        <f>IF(Data!AC37="x","✓","")</f>
        <v>✓</v>
      </c>
      <c r="AN29" s="43" t="str">
        <f>IF(Data!AC38="x","✓","")</f>
        <v/>
      </c>
      <c r="AO29" s="43" t="str">
        <f>IF(Data!AC39="x","✓","")</f>
        <v/>
      </c>
      <c r="AP29" s="43" t="str">
        <f>IF(Data!AC40="x","✓","")</f>
        <v/>
      </c>
      <c r="AQ29" s="44" t="str">
        <f>IF(Data!AC41="x","✓","")</f>
        <v>✓</v>
      </c>
      <c r="AR29" s="43" t="str">
        <f>IF(Data!AC42="x","✓","")</f>
        <v>✓</v>
      </c>
      <c r="AS29" s="43" t="str">
        <f>IF(Data!AC43="x","✓","")</f>
        <v/>
      </c>
      <c r="AT29" s="43" t="str">
        <f>IF(Data!AC44="x","✓","")</f>
        <v/>
      </c>
      <c r="AU29" s="43" t="str">
        <f>IF(Data!AC45="x","✓","")</f>
        <v/>
      </c>
      <c r="AV29" s="43" t="str">
        <f>IF(Data!AC46="x","✓","")</f>
        <v/>
      </c>
      <c r="AW29" s="43" t="str">
        <f>IF(Data!AC47="x","✓","")</f>
        <v/>
      </c>
      <c r="AX29" s="43" t="str">
        <f>IF(Data!AC48="x","✓","")</f>
        <v/>
      </c>
      <c r="AY29" s="43" t="str">
        <f>IF(Data!AC49="x","✓","")</f>
        <v/>
      </c>
      <c r="AZ29" s="43" t="str">
        <f>IF(Data!AC50="x","✓","")</f>
        <v/>
      </c>
      <c r="BA29" s="43" t="str">
        <f>IF(Data!AC51="x","✓","")</f>
        <v/>
      </c>
      <c r="BB29" s="43" t="str">
        <f>IF(Data!AC52="x","✓","")</f>
        <v/>
      </c>
      <c r="BC29" s="43" t="str">
        <f>IF(Data!AC53="x","✓","")</f>
        <v/>
      </c>
      <c r="BD29" s="43" t="str">
        <f>IF(Data!AC54="x","✓","")</f>
        <v/>
      </c>
      <c r="BE29" s="43" t="str">
        <f>IF(Data!AC55="x","✓","")</f>
        <v/>
      </c>
      <c r="BF29" s="43" t="str">
        <f>IF(Data!AC56="x","✓","")</f>
        <v/>
      </c>
      <c r="BG29" s="43" t="str">
        <f>IF(Data!AC57="x","✓","")</f>
        <v/>
      </c>
      <c r="BH29" s="43" t="str">
        <f>IF(Data!AC58="x","✓","")</f>
        <v/>
      </c>
      <c r="BI29" s="43" t="str">
        <f>IF(Data!AC59="x","✓","")</f>
        <v/>
      </c>
      <c r="BJ29" s="43" t="str">
        <f>IF(Data!AC60="x","✓","")</f>
        <v/>
      </c>
      <c r="BK29" s="43" t="str">
        <f>IF(Data!AC61="x","✓","")</f>
        <v/>
      </c>
    </row>
    <row r="30" spans="2:63" ht="15.75" customHeight="1">
      <c r="B30" s="45" t="s">
        <v>28</v>
      </c>
      <c r="C30" s="42">
        <f>COUNTIF(Data!AD2:AD61,"x")</f>
        <v>5</v>
      </c>
      <c r="D30" s="46" t="str">
        <f>IF(Data!AD2="x","✓","")</f>
        <v/>
      </c>
      <c r="E30" s="46" t="str">
        <f>IF(Data!AD3="x","✓","")</f>
        <v/>
      </c>
      <c r="F30" s="46" t="str">
        <f>IF(Data!AD4="x","✓","")</f>
        <v/>
      </c>
      <c r="G30" s="46" t="str">
        <f>IF(Data!AD5="x","✓","")</f>
        <v/>
      </c>
      <c r="H30" s="46" t="str">
        <f>IF(Data!AD6="x","✓","")</f>
        <v/>
      </c>
      <c r="I30" s="46" t="str">
        <f>IF(Data!AD7="x","✓","")</f>
        <v/>
      </c>
      <c r="J30" s="46" t="str">
        <f>IF(Data!AD8="x","✓","")</f>
        <v/>
      </c>
      <c r="K30" s="46" t="str">
        <f>IF(Data!AD9="x","✓","")</f>
        <v/>
      </c>
      <c r="L30" s="46" t="str">
        <f>IF(Data!AD10="x","✓","")</f>
        <v/>
      </c>
      <c r="M30" s="46" t="str">
        <f>IF(Data!AD11="x","✓","")</f>
        <v/>
      </c>
      <c r="N30" s="46" t="str">
        <f>IF(Data!AD12="x","✓","")</f>
        <v/>
      </c>
      <c r="O30" s="46" t="str">
        <f>IF(Data!AD13="x","✓","")</f>
        <v/>
      </c>
      <c r="P30" s="46" t="str">
        <f>IF(Data!AD14="x","✓","")</f>
        <v/>
      </c>
      <c r="Q30" s="46" t="str">
        <f>IF(Data!AD15="x","✓","")</f>
        <v/>
      </c>
      <c r="R30" s="46" t="str">
        <f>IF(Data!AD16="x","✓","")</f>
        <v/>
      </c>
      <c r="S30" s="46" t="str">
        <f>IF(Data!AD17="x","✓","")</f>
        <v/>
      </c>
      <c r="T30" s="46" t="str">
        <f>IF(Data!AD18="x","✓","")</f>
        <v/>
      </c>
      <c r="U30" s="46" t="str">
        <f>IF(Data!AD19="x","✓","")</f>
        <v/>
      </c>
      <c r="V30" s="46" t="str">
        <f>IF(Data!AD20="x","✓","")</f>
        <v/>
      </c>
      <c r="W30" s="46" t="str">
        <f>IF(Data!AD21="x","✓","")</f>
        <v/>
      </c>
      <c r="X30" s="46" t="str">
        <f>IF(Data!AD22="x","✓","")</f>
        <v/>
      </c>
      <c r="Y30" s="46" t="str">
        <f>IF(Data!AD23="x","✓","")</f>
        <v/>
      </c>
      <c r="Z30" s="46" t="str">
        <f>IF(Data!AD24="x","✓","")</f>
        <v/>
      </c>
      <c r="AA30" s="46" t="str">
        <f>IF(Data!AD25="x","✓","")</f>
        <v/>
      </c>
      <c r="AB30" s="46" t="str">
        <f>IF(Data!AD26="x","✓","")</f>
        <v/>
      </c>
      <c r="AC30" s="46" t="str">
        <f>IF(Data!AD27="x","✓","")</f>
        <v/>
      </c>
      <c r="AD30" s="46" t="str">
        <f>IF(Data!AD28="x","✓","")</f>
        <v/>
      </c>
      <c r="AE30" s="44" t="str">
        <f>IF(Data!AD29="x","✓","")</f>
        <v>✓</v>
      </c>
      <c r="AF30" s="46" t="str">
        <f>IF(Data!AD30="x","✓","")</f>
        <v/>
      </c>
      <c r="AG30" s="46" t="str">
        <f>IF(Data!AD31="x","✓","")</f>
        <v/>
      </c>
      <c r="AH30" s="46" t="str">
        <f>IF(Data!AD32="x","✓","")</f>
        <v/>
      </c>
      <c r="AI30" s="46" t="str">
        <f>IF(Data!AD33="x","✓","")</f>
        <v/>
      </c>
      <c r="AJ30" s="46" t="str">
        <f>IF(Data!AD34="x","✓","")</f>
        <v/>
      </c>
      <c r="AK30" s="46" t="str">
        <f>IF(Data!AD35="x","✓","")</f>
        <v/>
      </c>
      <c r="AL30" s="47" t="str">
        <f>IF(Data!AD36="x","✓","")</f>
        <v>✓</v>
      </c>
      <c r="AM30" s="46" t="str">
        <f>IF(Data!AD37="x","✓","")</f>
        <v/>
      </c>
      <c r="AN30" s="47" t="str">
        <f>IF(Data!AD38="x","✓","")</f>
        <v>✓</v>
      </c>
      <c r="AO30" s="44" t="str">
        <f>IF(Data!AD39="x","✓","")</f>
        <v>✓</v>
      </c>
      <c r="AP30" s="46" t="str">
        <f>IF(Data!AD40="x","✓","")</f>
        <v/>
      </c>
      <c r="AQ30" s="46" t="str">
        <f>IF(Data!AD41="x","✓","")</f>
        <v/>
      </c>
      <c r="AR30" s="46" t="str">
        <f>IF(Data!AD42="x","✓","")</f>
        <v>✓</v>
      </c>
      <c r="AS30" s="46" t="str">
        <f>IF(Data!AD43="x","✓","")</f>
        <v/>
      </c>
      <c r="AT30" s="46" t="str">
        <f>IF(Data!AD44="x","✓","")</f>
        <v/>
      </c>
      <c r="AU30" s="46" t="str">
        <f>IF(Data!AD45="x","✓","")</f>
        <v/>
      </c>
      <c r="AV30" s="46" t="str">
        <f>IF(Data!AD46="x","✓","")</f>
        <v/>
      </c>
      <c r="AW30" s="46" t="str">
        <f>IF(Data!AD47="x","✓","")</f>
        <v/>
      </c>
      <c r="AX30" s="46" t="str">
        <f>IF(Data!AD48="x","✓","")</f>
        <v/>
      </c>
      <c r="AY30" s="46" t="str">
        <f>IF(Data!AD49="x","✓","")</f>
        <v/>
      </c>
      <c r="AZ30" s="46" t="str">
        <f>IF(Data!AD50="x","✓","")</f>
        <v/>
      </c>
      <c r="BA30" s="46" t="str">
        <f>IF(Data!AD51="x","✓","")</f>
        <v/>
      </c>
      <c r="BB30" s="46" t="str">
        <f>IF(Data!AD52="x","✓","")</f>
        <v/>
      </c>
      <c r="BC30" s="46" t="str">
        <f>IF(Data!AD53="x","✓","")</f>
        <v/>
      </c>
      <c r="BD30" s="46" t="str">
        <f>IF(Data!AD54="x","✓","")</f>
        <v/>
      </c>
      <c r="BE30" s="46" t="str">
        <f>IF(Data!AD55="x","✓","")</f>
        <v/>
      </c>
      <c r="BF30" s="46" t="str">
        <f>IF(Data!AD56="x","✓","")</f>
        <v/>
      </c>
      <c r="BG30" s="46" t="str">
        <f>IF(Data!AD57="x","✓","")</f>
        <v/>
      </c>
      <c r="BH30" s="46" t="str">
        <f>IF(Data!AD58="x","✓","")</f>
        <v/>
      </c>
      <c r="BI30" s="46" t="str">
        <f>IF(Data!AD59="x","✓","")</f>
        <v/>
      </c>
      <c r="BJ30" s="46" t="str">
        <f>IF(Data!AD60="x","✓","")</f>
        <v/>
      </c>
      <c r="BK30" s="46" t="str">
        <f>IF(Data!AD61="x","✓","")</f>
        <v/>
      </c>
    </row>
    <row r="31" spans="2:63" ht="15.75" customHeight="1">
      <c r="B31" s="41" t="s">
        <v>29</v>
      </c>
      <c r="C31" s="42">
        <f>COUNTIF(Data!AE2:AE61,"x")</f>
        <v>7</v>
      </c>
      <c r="D31" s="43" t="str">
        <f>IF(Data!AE2="x","✓","")</f>
        <v/>
      </c>
      <c r="E31" s="43" t="str">
        <f>IF(Data!AE3="x","✓","")</f>
        <v/>
      </c>
      <c r="F31" s="43" t="str">
        <f>IF(Data!AE4="x","✓","")</f>
        <v/>
      </c>
      <c r="G31" s="43" t="str">
        <f>IF(Data!AE5="x","✓","")</f>
        <v/>
      </c>
      <c r="H31" s="43" t="str">
        <f>IF(Data!AE6="x","✓","")</f>
        <v/>
      </c>
      <c r="I31" s="43" t="str">
        <f>IF(Data!AE7="x","✓","")</f>
        <v/>
      </c>
      <c r="J31" s="43" t="str">
        <f>IF(Data!AE8="x","✓","")</f>
        <v/>
      </c>
      <c r="K31" s="43" t="str">
        <f>IF(Data!AE9="x","✓","")</f>
        <v/>
      </c>
      <c r="L31" s="43" t="str">
        <f>IF(Data!AE10="x","✓","")</f>
        <v/>
      </c>
      <c r="M31" s="43" t="str">
        <f>IF(Data!AE11="x","✓","")</f>
        <v/>
      </c>
      <c r="N31" s="43" t="str">
        <f>IF(Data!AE12="x","✓","")</f>
        <v/>
      </c>
      <c r="O31" s="43" t="str">
        <f>IF(Data!AE13="x","✓","")</f>
        <v/>
      </c>
      <c r="P31" s="43" t="str">
        <f>IF(Data!AE14="x","✓","")</f>
        <v/>
      </c>
      <c r="Q31" s="43" t="str">
        <f>IF(Data!AE15="x","✓","")</f>
        <v/>
      </c>
      <c r="R31" s="43" t="str">
        <f>IF(Data!AE16="x","✓","")</f>
        <v/>
      </c>
      <c r="S31" s="43" t="str">
        <f>IF(Data!AE17="x","✓","")</f>
        <v/>
      </c>
      <c r="T31" s="43" t="str">
        <f>IF(Data!AE18="x","✓","")</f>
        <v/>
      </c>
      <c r="U31" s="44" t="str">
        <f>IF(Data!AE19="x","✓","")</f>
        <v>✓</v>
      </c>
      <c r="V31" s="43" t="str">
        <f>IF(Data!AE20="x","✓","")</f>
        <v/>
      </c>
      <c r="W31" s="43" t="str">
        <f>IF(Data!AE21="x","✓","")</f>
        <v/>
      </c>
      <c r="X31" s="43" t="str">
        <f>IF(Data!AE22="x","✓","")</f>
        <v/>
      </c>
      <c r="Y31" s="43" t="str">
        <f>IF(Data!AE23="x","✓","")</f>
        <v/>
      </c>
      <c r="Z31" s="43" t="str">
        <f>IF(Data!AE24="x","✓","")</f>
        <v/>
      </c>
      <c r="AA31" s="43" t="str">
        <f>IF(Data!AE25="x","✓","")</f>
        <v/>
      </c>
      <c r="AB31" s="43" t="str">
        <f>IF(Data!AE26="x","✓","")</f>
        <v/>
      </c>
      <c r="AC31" s="44" t="str">
        <f>IF(Data!AE27="x","✓","")</f>
        <v>✓</v>
      </c>
      <c r="AD31" s="43" t="str">
        <f>IF(Data!AE28="x","✓","")</f>
        <v/>
      </c>
      <c r="AE31" s="43" t="str">
        <f>IF(Data!AE29="x","✓","")</f>
        <v/>
      </c>
      <c r="AF31" s="43" t="str">
        <f>IF(Data!AE30="x","✓","")</f>
        <v/>
      </c>
      <c r="AG31" s="43" t="str">
        <f>IF(Data!AE31="x","✓","")</f>
        <v/>
      </c>
      <c r="AH31" s="43" t="str">
        <f>IF(Data!AE32="x","✓","")</f>
        <v/>
      </c>
      <c r="AI31" s="44" t="str">
        <f>IF(Data!AE33="x","✓","")</f>
        <v>✓</v>
      </c>
      <c r="AJ31" s="43" t="str">
        <f>IF(Data!AE34="x","✓","")</f>
        <v/>
      </c>
      <c r="AK31" s="43" t="str">
        <f>IF(Data!AE35="x","✓","")</f>
        <v/>
      </c>
      <c r="AL31" s="47" t="str">
        <f>IF(Data!AE36="x","✓","")</f>
        <v>✓</v>
      </c>
      <c r="AM31" s="43" t="str">
        <f>IF(Data!AE37="x","✓","")</f>
        <v/>
      </c>
      <c r="AN31" s="47" t="str">
        <f>IF(Data!AE38="x","✓","")</f>
        <v>✓</v>
      </c>
      <c r="AO31" s="44" t="str">
        <f>IF(Data!AE39="x","✓","")</f>
        <v>✓</v>
      </c>
      <c r="AP31" s="43" t="str">
        <f>IF(Data!AE40="x","✓","")</f>
        <v/>
      </c>
      <c r="AQ31" s="43" t="str">
        <f>IF(Data!AE41="x","✓","")</f>
        <v/>
      </c>
      <c r="AR31" s="43" t="str">
        <f>IF(Data!AE42="x","✓","")</f>
        <v>✓</v>
      </c>
      <c r="AS31" s="43" t="str">
        <f>IF(Data!AE43="x","✓","")</f>
        <v/>
      </c>
      <c r="AT31" s="43" t="str">
        <f>IF(Data!AE44="x","✓","")</f>
        <v/>
      </c>
      <c r="AU31" s="43" t="str">
        <f>IF(Data!AE45="x","✓","")</f>
        <v/>
      </c>
      <c r="AV31" s="43" t="str">
        <f>IF(Data!AE46="x","✓","")</f>
        <v/>
      </c>
      <c r="AW31" s="43" t="str">
        <f>IF(Data!AE47="x","✓","")</f>
        <v/>
      </c>
      <c r="AX31" s="43" t="str">
        <f>IF(Data!AE48="x","✓","")</f>
        <v/>
      </c>
      <c r="AY31" s="43" t="str">
        <f>IF(Data!AE49="x","✓","")</f>
        <v/>
      </c>
      <c r="AZ31" s="43" t="str">
        <f>IF(Data!AE50="x","✓","")</f>
        <v/>
      </c>
      <c r="BA31" s="43" t="str">
        <f>IF(Data!AE51="x","✓","")</f>
        <v/>
      </c>
      <c r="BB31" s="43" t="str">
        <f>IF(Data!AE52="x","✓","")</f>
        <v/>
      </c>
      <c r="BC31" s="43" t="str">
        <f>IF(Data!AE53="x","✓","")</f>
        <v/>
      </c>
      <c r="BD31" s="43" t="str">
        <f>IF(Data!AE54="x","✓","")</f>
        <v/>
      </c>
      <c r="BE31" s="43" t="str">
        <f>IF(Data!AE55="x","✓","")</f>
        <v/>
      </c>
      <c r="BF31" s="43" t="str">
        <f>IF(Data!AE56="x","✓","")</f>
        <v/>
      </c>
      <c r="BG31" s="43" t="str">
        <f>IF(Data!AE57="x","✓","")</f>
        <v/>
      </c>
      <c r="BH31" s="43" t="str">
        <f>IF(Data!AE58="x","✓","")</f>
        <v/>
      </c>
      <c r="BI31" s="43" t="str">
        <f>IF(Data!AE59="x","✓","")</f>
        <v/>
      </c>
      <c r="BJ31" s="43" t="str">
        <f>IF(Data!AE60="x","✓","")</f>
        <v/>
      </c>
      <c r="BK31" s="43" t="str">
        <f>IF(Data!AE61="x","✓","")</f>
        <v/>
      </c>
    </row>
    <row r="32" spans="2:63" ht="15.75" customHeight="1">
      <c r="B32" s="45" t="s">
        <v>182</v>
      </c>
      <c r="C32" s="49">
        <f>COUNTIF(Data!AF2:AF61,"x")</f>
        <v>11</v>
      </c>
      <c r="D32" s="47" t="str">
        <f>IF(Data!AF2="x","✓","")</f>
        <v>✓</v>
      </c>
      <c r="E32" s="44" t="str">
        <f>IF(Data!AF3="x","✓","")</f>
        <v>✓</v>
      </c>
      <c r="F32" s="46" t="str">
        <f>IF(Data!AF4="x","✓","")</f>
        <v/>
      </c>
      <c r="G32" s="46" t="str">
        <f>IF(Data!AF5="x","✓","")</f>
        <v/>
      </c>
      <c r="H32" s="46" t="str">
        <f>IF(Data!AF6="x","✓","")</f>
        <v/>
      </c>
      <c r="I32" s="46" t="str">
        <f>IF(Data!AF7="x","✓","")</f>
        <v/>
      </c>
      <c r="J32" s="46" t="str">
        <f>IF(Data!AF8="x","✓","")</f>
        <v/>
      </c>
      <c r="K32" s="46" t="str">
        <f>IF(Data!AF9="x","✓","")</f>
        <v/>
      </c>
      <c r="L32" s="46" t="str">
        <f>IF(Data!AF10="x","✓","")</f>
        <v/>
      </c>
      <c r="M32" s="46" t="str">
        <f>IF(Data!AF11="x","✓","")</f>
        <v/>
      </c>
      <c r="N32" s="46" t="str">
        <f>IF(Data!AF12="x","✓","")</f>
        <v/>
      </c>
      <c r="O32" s="46" t="str">
        <f>IF(Data!AF13="x","✓","")</f>
        <v/>
      </c>
      <c r="P32" s="46" t="str">
        <f>IF(Data!AF14="x","✓","")</f>
        <v/>
      </c>
      <c r="Q32" s="46" t="str">
        <f>IF(Data!AF15="x","✓","")</f>
        <v/>
      </c>
      <c r="R32" s="46" t="str">
        <f>IF(Data!AF16="x","✓","")</f>
        <v>✓</v>
      </c>
      <c r="S32" s="46" t="str">
        <f>IF(Data!AF17="x","✓","")</f>
        <v/>
      </c>
      <c r="T32" s="46" t="str">
        <f>IF(Data!AF18="x","✓","")</f>
        <v/>
      </c>
      <c r="U32" s="46" t="str">
        <f>IF(Data!AF19="x","✓","")</f>
        <v/>
      </c>
      <c r="V32" s="47" t="str">
        <f>IF(Data!AF20="x","✓","")</f>
        <v>✓</v>
      </c>
      <c r="W32" s="44" t="str">
        <f>IF(Data!AF21="x","✓","")</f>
        <v>✓</v>
      </c>
      <c r="X32" s="46" t="str">
        <f>IF(Data!AF22="x","✓","")</f>
        <v/>
      </c>
      <c r="Y32" s="44" t="str">
        <f>IF(Data!AF23="x","✓","")</f>
        <v/>
      </c>
      <c r="Z32" s="46" t="str">
        <f>IF(Data!AF24="x","✓","")</f>
        <v/>
      </c>
      <c r="AA32" s="44" t="str">
        <f>IF(Data!AF25="x","✓","")</f>
        <v>✓</v>
      </c>
      <c r="AB32" s="47" t="str">
        <f>IF(Data!AF26="x","✓","")</f>
        <v>✓</v>
      </c>
      <c r="AC32" s="46" t="str">
        <f>IF(Data!AF27="x","✓","")</f>
        <v/>
      </c>
      <c r="AD32" s="47" t="str">
        <f>IF(Data!AF28="x","✓","")</f>
        <v>✓</v>
      </c>
      <c r="AE32" s="46" t="str">
        <f>IF(Data!AF29="x","✓","")</f>
        <v/>
      </c>
      <c r="AF32" s="46" t="str">
        <f>IF(Data!AF30="x","✓","")</f>
        <v/>
      </c>
      <c r="AG32" s="46" t="str">
        <f>IF(Data!AF31="x","✓","")</f>
        <v/>
      </c>
      <c r="AH32" s="46" t="str">
        <f>IF(Data!AF32="x","✓","")</f>
        <v/>
      </c>
      <c r="AI32" s="46" t="str">
        <f>IF(Data!AF33="x","✓","")</f>
        <v/>
      </c>
      <c r="AJ32" s="46" t="str">
        <f>IF(Data!AF34="x","✓","")</f>
        <v/>
      </c>
      <c r="AK32" s="46" t="str">
        <f>IF(Data!AF35="x","✓","")</f>
        <v/>
      </c>
      <c r="AL32" s="46" t="str">
        <f>IF(Data!AF36="x","✓","")</f>
        <v/>
      </c>
      <c r="AM32" s="44" t="str">
        <f>IF(Data!AF37="x","✓","")</f>
        <v>✓</v>
      </c>
      <c r="AN32" s="46" t="str">
        <f>IF(Data!AF38="x","✓","")</f>
        <v/>
      </c>
      <c r="AO32" s="46" t="str">
        <f>IF(Data!AF39="x","✓","")</f>
        <v/>
      </c>
      <c r="AP32" s="47" t="str">
        <f>IF(Data!AF40="x","✓","")</f>
        <v>✓</v>
      </c>
      <c r="AQ32" s="46" t="str">
        <f>IF(Data!AF41="x","✓","")</f>
        <v/>
      </c>
      <c r="AR32" s="46" t="str">
        <f>IF(Data!AF42="x","✓","")</f>
        <v>✓</v>
      </c>
      <c r="AS32" s="46" t="str">
        <f>IF(Data!AF43="x","✓","")</f>
        <v/>
      </c>
      <c r="AT32" s="46" t="str">
        <f>IF(Data!AF44="x","✓","")</f>
        <v/>
      </c>
      <c r="AU32" s="46" t="str">
        <f>IF(Data!AF45="x","✓","")</f>
        <v/>
      </c>
      <c r="AV32" s="46" t="str">
        <f>IF(Data!AF46="x","✓","")</f>
        <v/>
      </c>
      <c r="AW32" s="46" t="str">
        <f>IF(Data!AF47="x","✓","")</f>
        <v/>
      </c>
      <c r="AX32" s="46" t="str">
        <f>IF(Data!AF48="x","✓","")</f>
        <v/>
      </c>
      <c r="AY32" s="46" t="str">
        <f>IF(Data!AF49="x","✓","")</f>
        <v/>
      </c>
      <c r="AZ32" s="46" t="str">
        <f>IF(Data!AF50="x","✓","")</f>
        <v/>
      </c>
      <c r="BA32" s="46" t="str">
        <f>IF(Data!AF51="x","✓","")</f>
        <v/>
      </c>
      <c r="BB32" s="46" t="str">
        <f>IF(Data!AF52="x","✓","")</f>
        <v/>
      </c>
      <c r="BC32" s="46" t="str">
        <f>IF(Data!AF53="x","✓","")</f>
        <v/>
      </c>
      <c r="BD32" s="46" t="str">
        <f>IF(Data!AF54="x","✓","")</f>
        <v/>
      </c>
      <c r="BE32" s="46" t="str">
        <f>IF(Data!AF55="x","✓","")</f>
        <v/>
      </c>
      <c r="BF32" s="46" t="str">
        <f>IF(Data!AF56="x","✓","")</f>
        <v/>
      </c>
      <c r="BG32" s="46" t="str">
        <f>IF(Data!AF57="x","✓","")</f>
        <v/>
      </c>
      <c r="BH32" s="46" t="str">
        <f>IF(Data!AF58="x","✓","")</f>
        <v/>
      </c>
      <c r="BI32" s="46" t="str">
        <f>IF(Data!AF59="x","✓","")</f>
        <v/>
      </c>
      <c r="BJ32" s="46" t="str">
        <f>IF(Data!AF60="x","✓","")</f>
        <v/>
      </c>
      <c r="BK32" s="46" t="str">
        <f>IF(Data!AF61="x","✓","")</f>
        <v/>
      </c>
    </row>
    <row r="33" spans="2:63" ht="15.75" customHeight="1">
      <c r="B33" s="41" t="s">
        <v>31</v>
      </c>
      <c r="C33" s="42">
        <f>COUNTIF(Data!AG2:AG61,"x")</f>
        <v>5</v>
      </c>
      <c r="D33" s="43" t="str">
        <f>IF(Data!AG2="x","✓","")</f>
        <v/>
      </c>
      <c r="E33" s="43" t="str">
        <f>IF(Data!AG3="x","✓","")</f>
        <v/>
      </c>
      <c r="F33" s="43" t="str">
        <f>IF(Data!AG4="x","✓","")</f>
        <v/>
      </c>
      <c r="G33" s="43" t="str">
        <f>IF(Data!AG5="x","✓","")</f>
        <v/>
      </c>
      <c r="H33" s="43" t="str">
        <f>IF(Data!AG6="x","✓","")</f>
        <v/>
      </c>
      <c r="I33" s="43" t="str">
        <f>IF(Data!AG7="x","✓","")</f>
        <v/>
      </c>
      <c r="J33" s="43" t="str">
        <f>IF(Data!AG8="x","✓","")</f>
        <v/>
      </c>
      <c r="K33" s="43" t="str">
        <f>IF(Data!AG9="x","✓","")</f>
        <v/>
      </c>
      <c r="L33" s="43" t="str">
        <f>IF(Data!AG10="x","✓","")</f>
        <v/>
      </c>
      <c r="M33" s="43" t="str">
        <f>IF(Data!AG11="x","✓","")</f>
        <v/>
      </c>
      <c r="N33" s="43" t="str">
        <f>IF(Data!AG12="x","✓","")</f>
        <v/>
      </c>
      <c r="O33" s="43" t="str">
        <f>IF(Data!AG13="x","✓","")</f>
        <v/>
      </c>
      <c r="P33" s="43" t="str">
        <f>IF(Data!AG14="x","✓","")</f>
        <v/>
      </c>
      <c r="Q33" s="43" t="str">
        <f>IF(Data!AG15="x","✓","")</f>
        <v/>
      </c>
      <c r="R33" s="43" t="str">
        <f>IF(Data!AG16="x","✓","")</f>
        <v/>
      </c>
      <c r="S33" s="43" t="str">
        <f>IF(Data!AG17="x","✓","")</f>
        <v/>
      </c>
      <c r="T33" s="43" t="str">
        <f>IF(Data!AG18="x","✓","")</f>
        <v/>
      </c>
      <c r="U33" s="43" t="str">
        <f>IF(Data!AG19="x","✓","")</f>
        <v/>
      </c>
      <c r="V33" s="43" t="str">
        <f>IF(Data!AG20="x","✓","")</f>
        <v/>
      </c>
      <c r="W33" s="43" t="str">
        <f>IF(Data!AG21="x","✓","")</f>
        <v/>
      </c>
      <c r="X33" s="43" t="str">
        <f>IF(Data!AG22="x","✓","")</f>
        <v/>
      </c>
      <c r="Y33" s="43" t="str">
        <f>IF(Data!AG23="x","✓","")</f>
        <v/>
      </c>
      <c r="Z33" s="43" t="str">
        <f>IF(Data!AG24="x","✓","")</f>
        <v/>
      </c>
      <c r="AA33" s="43" t="str">
        <f>IF(Data!AG25="x","✓","")</f>
        <v/>
      </c>
      <c r="AB33" s="43" t="str">
        <f>IF(Data!AG26="x","✓","")</f>
        <v/>
      </c>
      <c r="AC33" s="44" t="str">
        <f>IF(Data!AG27="x","✓","")</f>
        <v>✓</v>
      </c>
      <c r="AD33" s="43" t="str">
        <f>IF(Data!AG28="x","✓","")</f>
        <v/>
      </c>
      <c r="AE33" s="43" t="str">
        <f>IF(Data!AG29="x","✓","")</f>
        <v/>
      </c>
      <c r="AF33" s="43" t="str">
        <f>IF(Data!AG30="x","✓","")</f>
        <v/>
      </c>
      <c r="AG33" s="43" t="str">
        <f>IF(Data!AG31="x","✓","")</f>
        <v/>
      </c>
      <c r="AH33" s="43" t="str">
        <f>IF(Data!AG32="x","✓","")</f>
        <v/>
      </c>
      <c r="AI33" s="44" t="str">
        <f>IF(Data!AG33="x","✓","")</f>
        <v>✓</v>
      </c>
      <c r="AJ33" s="43" t="str">
        <f>IF(Data!AG34="x","✓","")</f>
        <v/>
      </c>
      <c r="AK33" s="43" t="str">
        <f>IF(Data!AG35="x","✓","")</f>
        <v/>
      </c>
      <c r="AL33" s="43" t="str">
        <f>IF(Data!AG36="x","✓","")</f>
        <v/>
      </c>
      <c r="AM33" s="44" t="str">
        <f>IF(Data!AG37="x","✓","")</f>
        <v>✓</v>
      </c>
      <c r="AN33" s="43" t="str">
        <f>IF(Data!AG38="x","✓","")</f>
        <v/>
      </c>
      <c r="AO33" s="43" t="str">
        <f>IF(Data!AG39="x","✓","")</f>
        <v/>
      </c>
      <c r="AP33" s="43" t="str">
        <f>IF(Data!AG40="x","✓","")</f>
        <v/>
      </c>
      <c r="AQ33" s="44" t="str">
        <f>IF(Data!AG41="x","✓","")</f>
        <v>✓</v>
      </c>
      <c r="AR33" s="43" t="str">
        <f>IF(Data!AG42="x","✓","")</f>
        <v>✓</v>
      </c>
      <c r="AS33" s="43" t="str">
        <f>IF(Data!AG43="x","✓","")</f>
        <v/>
      </c>
      <c r="AT33" s="43" t="str">
        <f>IF(Data!AG44="x","✓","")</f>
        <v/>
      </c>
      <c r="AU33" s="43" t="str">
        <f>IF(Data!AG45="x","✓","")</f>
        <v/>
      </c>
      <c r="AV33" s="43" t="str">
        <f>IF(Data!AG46="x","✓","")</f>
        <v/>
      </c>
      <c r="AW33" s="43" t="str">
        <f>IF(Data!AG47="x","✓","")</f>
        <v/>
      </c>
      <c r="AX33" s="43" t="str">
        <f>IF(Data!AG48="x","✓","")</f>
        <v/>
      </c>
      <c r="AY33" s="43" t="str">
        <f>IF(Data!AG49="x","✓","")</f>
        <v/>
      </c>
      <c r="AZ33" s="43" t="str">
        <f>IF(Data!AG50="x","✓","")</f>
        <v/>
      </c>
      <c r="BA33" s="43" t="str">
        <f>IF(Data!AG51="x","✓","")</f>
        <v/>
      </c>
      <c r="BB33" s="43" t="str">
        <f>IF(Data!AG52="x","✓","")</f>
        <v/>
      </c>
      <c r="BC33" s="43" t="str">
        <f>IF(Data!AG53="x","✓","")</f>
        <v/>
      </c>
      <c r="BD33" s="43" t="str">
        <f>IF(Data!AG54="x","✓","")</f>
        <v/>
      </c>
      <c r="BE33" s="43" t="str">
        <f>IF(Data!AG55="x","✓","")</f>
        <v/>
      </c>
      <c r="BF33" s="43" t="str">
        <f>IF(Data!AG56="x","✓","")</f>
        <v/>
      </c>
      <c r="BG33" s="43" t="str">
        <f>IF(Data!AG57="x","✓","")</f>
        <v/>
      </c>
      <c r="BH33" s="43" t="str">
        <f>IF(Data!AG58="x","✓","")</f>
        <v/>
      </c>
      <c r="BI33" s="43" t="str">
        <f>IF(Data!AG59="x","✓","")</f>
        <v/>
      </c>
      <c r="BJ33" s="43" t="str">
        <f>IF(Data!AG60="x","✓","")</f>
        <v/>
      </c>
      <c r="BK33" s="43" t="str">
        <f>IF(Data!AG61="x","✓","")</f>
        <v/>
      </c>
    </row>
    <row r="34" spans="2:63" ht="15.75" customHeight="1">
      <c r="B34" s="45" t="s">
        <v>32</v>
      </c>
      <c r="C34" s="49">
        <f>COUNTIF(Data!AH2:AH61,"x")</f>
        <v>12</v>
      </c>
      <c r="D34" s="47" t="str">
        <f>IF(Data!AH2="x","✓","")</f>
        <v>✓</v>
      </c>
      <c r="E34" s="44" t="str">
        <f>IF(Data!AH3="x","✓","")</f>
        <v>✓</v>
      </c>
      <c r="F34" s="46" t="str">
        <f>IF(Data!AH4="x","✓","")</f>
        <v/>
      </c>
      <c r="G34" s="46" t="str">
        <f>IF(Data!AH5="x","✓","")</f>
        <v/>
      </c>
      <c r="H34" s="46" t="str">
        <f>IF(Data!AH6="x","✓","")</f>
        <v/>
      </c>
      <c r="I34" s="46" t="str">
        <f>IF(Data!AH7="x","✓","")</f>
        <v/>
      </c>
      <c r="J34" s="46" t="str">
        <f>IF(Data!AH8="x","✓","")</f>
        <v/>
      </c>
      <c r="K34" s="46" t="str">
        <f>IF(Data!AH9="x","✓","")</f>
        <v/>
      </c>
      <c r="L34" s="46" t="str">
        <f>IF(Data!AH10="x","✓","")</f>
        <v/>
      </c>
      <c r="M34" s="46" t="str">
        <f>IF(Data!AH11="x","✓","")</f>
        <v/>
      </c>
      <c r="N34" s="46" t="str">
        <f>IF(Data!AH12="x","✓","")</f>
        <v/>
      </c>
      <c r="O34" s="46" t="str">
        <f>IF(Data!AH13="x","✓","")</f>
        <v/>
      </c>
      <c r="P34" s="46" t="str">
        <f>IF(Data!AH14="x","✓","")</f>
        <v/>
      </c>
      <c r="Q34" s="46" t="str">
        <f>IF(Data!AH15="x","✓","")</f>
        <v/>
      </c>
      <c r="R34" s="46" t="str">
        <f>IF(Data!AH16="x","✓","")</f>
        <v>✓</v>
      </c>
      <c r="S34" s="44" t="str">
        <f>IF(Data!AH17="x","✓","")</f>
        <v>✓</v>
      </c>
      <c r="T34" s="46" t="str">
        <f>IF(Data!AH18="x","✓","")</f>
        <v/>
      </c>
      <c r="U34" s="46" t="str">
        <f>IF(Data!AH19="x","✓","")</f>
        <v/>
      </c>
      <c r="V34" s="46" t="str">
        <f>IF(Data!AH20="x","✓","")</f>
        <v/>
      </c>
      <c r="W34" s="44" t="str">
        <f>IF(Data!AH21="x","✓","")</f>
        <v>✓</v>
      </c>
      <c r="X34" s="46" t="str">
        <f>IF(Data!AH22="x","✓","")</f>
        <v/>
      </c>
      <c r="Y34" s="44" t="str">
        <f>IF(Data!AH23="x","✓","")</f>
        <v/>
      </c>
      <c r="Z34" s="46" t="str">
        <f>IF(Data!AH24="x","✓","")</f>
        <v/>
      </c>
      <c r="AA34" s="44" t="str">
        <f>IF(Data!AH25="x","✓","")</f>
        <v>✓</v>
      </c>
      <c r="AB34" s="47" t="str">
        <f>IF(Data!AH26="x","✓","")</f>
        <v>✓</v>
      </c>
      <c r="AC34" s="46" t="str">
        <f>IF(Data!AH27="x","✓","")</f>
        <v/>
      </c>
      <c r="AD34" s="47" t="str">
        <f>IF(Data!AH28="x","✓","")</f>
        <v>✓</v>
      </c>
      <c r="AE34" s="46" t="str">
        <f>IF(Data!AH29="x","✓","")</f>
        <v/>
      </c>
      <c r="AF34" s="46" t="str">
        <f>IF(Data!AH30="x","✓","")</f>
        <v/>
      </c>
      <c r="AG34" s="44" t="str">
        <f>IF(Data!AH31="x","✓","")</f>
        <v>✓</v>
      </c>
      <c r="AH34" s="46" t="str">
        <f>IF(Data!AH32="x","✓","")</f>
        <v/>
      </c>
      <c r="AI34" s="46" t="str">
        <f>IF(Data!AH33="x","✓","")</f>
        <v/>
      </c>
      <c r="AJ34" s="46" t="str">
        <f>IF(Data!AH34="x","✓","")</f>
        <v/>
      </c>
      <c r="AK34" s="46" t="str">
        <f>IF(Data!AH35="x","✓","")</f>
        <v/>
      </c>
      <c r="AL34" s="46" t="str">
        <f>IF(Data!AH36="x","✓","")</f>
        <v/>
      </c>
      <c r="AM34" s="44" t="str">
        <f>IF(Data!AH37="x","✓","")</f>
        <v>✓</v>
      </c>
      <c r="AN34" s="46" t="str">
        <f>IF(Data!AH38="x","✓","")</f>
        <v/>
      </c>
      <c r="AO34" s="46" t="str">
        <f>IF(Data!AH39="x","✓","")</f>
        <v/>
      </c>
      <c r="AP34" s="47" t="str">
        <f>IF(Data!AH40="x","✓","")</f>
        <v>✓</v>
      </c>
      <c r="AQ34" s="46" t="str">
        <f>IF(Data!AH41="x","✓","")</f>
        <v/>
      </c>
      <c r="AR34" s="46" t="str">
        <f>IF(Data!AH42="x","✓","")</f>
        <v>✓</v>
      </c>
      <c r="AS34" s="46" t="str">
        <f>IF(Data!AH43="x","✓","")</f>
        <v/>
      </c>
      <c r="AT34" s="46" t="str">
        <f>IF(Data!AH44="x","✓","")</f>
        <v/>
      </c>
      <c r="AU34" s="46" t="str">
        <f>IF(Data!AH45="x","✓","")</f>
        <v/>
      </c>
      <c r="AV34" s="46" t="str">
        <f>IF(Data!AH46="x","✓","")</f>
        <v/>
      </c>
      <c r="AW34" s="46" t="str">
        <f>IF(Data!AH47="x","✓","")</f>
        <v/>
      </c>
      <c r="AX34" s="46" t="str">
        <f>IF(Data!AH48="x","✓","")</f>
        <v/>
      </c>
      <c r="AY34" s="46" t="str">
        <f>IF(Data!AH49="x","✓","")</f>
        <v/>
      </c>
      <c r="AZ34" s="46" t="str">
        <f>IF(Data!AH50="x","✓","")</f>
        <v/>
      </c>
      <c r="BA34" s="46" t="str">
        <f>IF(Data!AH51="x","✓","")</f>
        <v/>
      </c>
      <c r="BB34" s="46" t="str">
        <f>IF(Data!AH52="x","✓","")</f>
        <v/>
      </c>
      <c r="BC34" s="46" t="str">
        <f>IF(Data!AH53="x","✓","")</f>
        <v/>
      </c>
      <c r="BD34" s="46" t="str">
        <f>IF(Data!AH54="x","✓","")</f>
        <v/>
      </c>
      <c r="BE34" s="46" t="str">
        <f>IF(Data!AH55="x","✓","")</f>
        <v/>
      </c>
      <c r="BF34" s="46" t="str">
        <f>IF(Data!AH56="x","✓","")</f>
        <v/>
      </c>
      <c r="BG34" s="46" t="str">
        <f>IF(Data!AH57="x","✓","")</f>
        <v/>
      </c>
      <c r="BH34" s="46" t="str">
        <f>IF(Data!AH58="x","✓","")</f>
        <v/>
      </c>
      <c r="BI34" s="46" t="str">
        <f>IF(Data!AH59="x","✓","")</f>
        <v/>
      </c>
      <c r="BJ34" s="46" t="str">
        <f>IF(Data!AH60="x","✓","")</f>
        <v/>
      </c>
      <c r="BK34" s="46" t="str">
        <f>IF(Data!AH61="x","✓","")</f>
        <v/>
      </c>
    </row>
    <row r="35" spans="2:63" ht="15.75" customHeight="1">
      <c r="B35" s="41" t="s">
        <v>33</v>
      </c>
      <c r="C35" s="42">
        <f>COUNTIF(Data!AI2:AI61,"x")</f>
        <v>5</v>
      </c>
      <c r="D35" s="43" t="str">
        <f>IF(Data!AI2="x","✓","")</f>
        <v/>
      </c>
      <c r="E35" s="43" t="str">
        <f>IF(Data!AI3="x","✓","")</f>
        <v/>
      </c>
      <c r="F35" s="43" t="str">
        <f>IF(Data!AI4="x","✓","")</f>
        <v/>
      </c>
      <c r="G35" s="43" t="str">
        <f>IF(Data!AI5="x","✓","")</f>
        <v/>
      </c>
      <c r="H35" s="43" t="str">
        <f>IF(Data!AI6="x","✓","")</f>
        <v/>
      </c>
      <c r="I35" s="43" t="str">
        <f>IF(Data!AI7="x","✓","")</f>
        <v/>
      </c>
      <c r="J35" s="43" t="str">
        <f>IF(Data!AI8="x","✓","")</f>
        <v/>
      </c>
      <c r="K35" s="43" t="str">
        <f>IF(Data!AI9="x","✓","")</f>
        <v/>
      </c>
      <c r="L35" s="43" t="str">
        <f>IF(Data!AI10="x","✓","")</f>
        <v/>
      </c>
      <c r="M35" s="43" t="str">
        <f>IF(Data!AI11="x","✓","")</f>
        <v/>
      </c>
      <c r="N35" s="43" t="str">
        <f>IF(Data!AI12="x","✓","")</f>
        <v/>
      </c>
      <c r="O35" s="43" t="str">
        <f>IF(Data!AI13="x","✓","")</f>
        <v/>
      </c>
      <c r="P35" s="43" t="str">
        <f>IF(Data!AI14="x","✓","")</f>
        <v/>
      </c>
      <c r="Q35" s="44" t="str">
        <f>IF(Data!AI15="x","✓","")</f>
        <v>✓</v>
      </c>
      <c r="R35" s="43" t="str">
        <f>IF(Data!AI16="x","✓","")</f>
        <v/>
      </c>
      <c r="S35" s="43" t="str">
        <f>IF(Data!AI17="x","✓","")</f>
        <v/>
      </c>
      <c r="T35" s="43" t="str">
        <f>IF(Data!AI18="x","✓","")</f>
        <v/>
      </c>
      <c r="U35" s="43" t="str">
        <f>IF(Data!AI19="x","✓","")</f>
        <v/>
      </c>
      <c r="V35" s="43" t="str">
        <f>IF(Data!AI20="x","✓","")</f>
        <v/>
      </c>
      <c r="W35" s="43" t="str">
        <f>IF(Data!AI21="x","✓","")</f>
        <v/>
      </c>
      <c r="X35" s="43" t="str">
        <f>IF(Data!AI22="x","✓","")</f>
        <v/>
      </c>
      <c r="Y35" s="43" t="str">
        <f>IF(Data!AI23="x","✓","")</f>
        <v/>
      </c>
      <c r="Z35" s="43" t="str">
        <f>IF(Data!AI24="x","✓","")</f>
        <v/>
      </c>
      <c r="AA35" s="43" t="str">
        <f>IF(Data!AI25="x","✓","")</f>
        <v/>
      </c>
      <c r="AB35" s="43" t="str">
        <f>IF(Data!AI26="x","✓","")</f>
        <v/>
      </c>
      <c r="AC35" s="43" t="str">
        <f>IF(Data!AI27="x","✓","")</f>
        <v/>
      </c>
      <c r="AD35" s="43" t="str">
        <f>IF(Data!AI28="x","✓","")</f>
        <v/>
      </c>
      <c r="AE35" s="43" t="str">
        <f>IF(Data!AI29="x","✓","")</f>
        <v/>
      </c>
      <c r="AF35" s="47" t="str">
        <f>IF(Data!AI30="x","✓","")</f>
        <v>✓</v>
      </c>
      <c r="AG35" s="43" t="str">
        <f>IF(Data!AI31="x","✓","")</f>
        <v/>
      </c>
      <c r="AH35" s="47" t="str">
        <f>IF(Data!AI32="x","✓","")</f>
        <v>✓</v>
      </c>
      <c r="AI35" s="43" t="str">
        <f>IF(Data!AI33="x","✓","")</f>
        <v/>
      </c>
      <c r="AJ35" s="43" t="str">
        <f>IF(Data!AI34="x","✓","")</f>
        <v/>
      </c>
      <c r="AK35" s="44" t="str">
        <f>IF(Data!AI35="x","✓","")</f>
        <v>✓</v>
      </c>
      <c r="AL35" s="43" t="str">
        <f>IF(Data!AI36="x","✓","")</f>
        <v/>
      </c>
      <c r="AM35" s="43" t="str">
        <f>IF(Data!AI37="x","✓","")</f>
        <v/>
      </c>
      <c r="AN35" s="43" t="str">
        <f>IF(Data!AI38="x","✓","")</f>
        <v/>
      </c>
      <c r="AO35" s="43" t="str">
        <f>IF(Data!AI39="x","✓","")</f>
        <v/>
      </c>
      <c r="AP35" s="43" t="str">
        <f>IF(Data!AI40="x","✓","")</f>
        <v/>
      </c>
      <c r="AQ35" s="43" t="str">
        <f>IF(Data!AI41="x","✓","")</f>
        <v/>
      </c>
      <c r="AR35" s="43" t="str">
        <f>IF(Data!AI42="x","✓","")</f>
        <v>✓</v>
      </c>
      <c r="AS35" s="43" t="str">
        <f>IF(Data!AI43="x","✓","")</f>
        <v/>
      </c>
      <c r="AT35" s="43" t="str">
        <f>IF(Data!AI44="x","✓","")</f>
        <v/>
      </c>
      <c r="AU35" s="43" t="str">
        <f>IF(Data!AI45="x","✓","")</f>
        <v/>
      </c>
      <c r="AV35" s="43" t="str">
        <f>IF(Data!AI46="x","✓","")</f>
        <v/>
      </c>
      <c r="AW35" s="43" t="str">
        <f>IF(Data!AI47="x","✓","")</f>
        <v/>
      </c>
      <c r="AX35" s="43" t="str">
        <f>IF(Data!AI48="x","✓","")</f>
        <v/>
      </c>
      <c r="AY35" s="43" t="str">
        <f>IF(Data!AI49="x","✓","")</f>
        <v/>
      </c>
      <c r="AZ35" s="43" t="str">
        <f>IF(Data!AI50="x","✓","")</f>
        <v/>
      </c>
      <c r="BA35" s="43" t="str">
        <f>IF(Data!AI51="x","✓","")</f>
        <v/>
      </c>
      <c r="BB35" s="43" t="str">
        <f>IF(Data!AI52="x","✓","")</f>
        <v/>
      </c>
      <c r="BC35" s="43" t="str">
        <f>IF(Data!AI53="x","✓","")</f>
        <v/>
      </c>
      <c r="BD35" s="43" t="str">
        <f>IF(Data!AI54="x","✓","")</f>
        <v/>
      </c>
      <c r="BE35" s="43" t="str">
        <f>IF(Data!AI55="x","✓","")</f>
        <v/>
      </c>
      <c r="BF35" s="43" t="str">
        <f>IF(Data!AI56="x","✓","")</f>
        <v/>
      </c>
      <c r="BG35" s="43" t="str">
        <f>IF(Data!AI57="x","✓","")</f>
        <v/>
      </c>
      <c r="BH35" s="43" t="str">
        <f>IF(Data!AI58="x","✓","")</f>
        <v/>
      </c>
      <c r="BI35" s="43" t="str">
        <f>IF(Data!AI59="x","✓","")</f>
        <v/>
      </c>
      <c r="BJ35" s="43" t="str">
        <f>IF(Data!AI60="x","✓","")</f>
        <v/>
      </c>
      <c r="BK35" s="43" t="str">
        <f>IF(Data!AI61="x","✓","")</f>
        <v/>
      </c>
    </row>
    <row r="36" spans="2:63" ht="15.75" customHeight="1">
      <c r="B36" s="45" t="s">
        <v>34</v>
      </c>
      <c r="C36" s="42">
        <f>COUNTIF(Data!AJ2:AJ61,"x")</f>
        <v>7</v>
      </c>
      <c r="D36" s="46" t="str">
        <f>IF(Data!AJ2="x","✓","")</f>
        <v/>
      </c>
      <c r="E36" s="46" t="str">
        <f>IF(Data!AJ3="x","✓","")</f>
        <v/>
      </c>
      <c r="F36" s="46" t="str">
        <f>IF(Data!AJ4="x","✓","")</f>
        <v/>
      </c>
      <c r="G36" s="46" t="str">
        <f>IF(Data!AJ5="x","✓","")</f>
        <v/>
      </c>
      <c r="H36" s="46" t="str">
        <f>IF(Data!AJ6="x","✓","")</f>
        <v/>
      </c>
      <c r="I36" s="46" t="str">
        <f>IF(Data!AJ7="x","✓","")</f>
        <v/>
      </c>
      <c r="J36" s="46" t="str">
        <f>IF(Data!AJ8="x","✓","")</f>
        <v/>
      </c>
      <c r="K36" s="46" t="str">
        <f>IF(Data!AJ9="x","✓","")</f>
        <v/>
      </c>
      <c r="L36" s="46" t="str">
        <f>IF(Data!AJ10="x","✓","")</f>
        <v/>
      </c>
      <c r="M36" s="46" t="str">
        <f>IF(Data!AJ11="x","✓","")</f>
        <v/>
      </c>
      <c r="N36" s="46" t="str">
        <f>IF(Data!AJ12="x","✓","")</f>
        <v/>
      </c>
      <c r="O36" s="46" t="str">
        <f>IF(Data!AJ13="x","✓","")</f>
        <v/>
      </c>
      <c r="P36" s="46" t="str">
        <f>IF(Data!AJ14="x","✓","")</f>
        <v/>
      </c>
      <c r="Q36" s="46" t="str">
        <f>IF(Data!AJ15="x","✓","")</f>
        <v/>
      </c>
      <c r="R36" s="46" t="str">
        <f>IF(Data!AJ16="x","✓","")</f>
        <v/>
      </c>
      <c r="S36" s="44" t="str">
        <f>IF(Data!AJ17="x","✓","")</f>
        <v>✓</v>
      </c>
      <c r="T36" s="46" t="str">
        <f>IF(Data!AJ18="x","✓","")</f>
        <v/>
      </c>
      <c r="U36" s="46" t="str">
        <f>IF(Data!AJ19="x","✓","")</f>
        <v/>
      </c>
      <c r="V36" s="46" t="str">
        <f>IF(Data!AJ20="x","✓","")</f>
        <v/>
      </c>
      <c r="W36" s="46" t="str">
        <f>IF(Data!AJ21="x","✓","")</f>
        <v/>
      </c>
      <c r="X36" s="46" t="str">
        <f>IF(Data!AJ22="x","✓","")</f>
        <v/>
      </c>
      <c r="Y36" s="46" t="str">
        <f>IF(Data!AJ23="x","✓","")</f>
        <v/>
      </c>
      <c r="Z36" s="46" t="str">
        <f>IF(Data!AJ24="x","✓","")</f>
        <v/>
      </c>
      <c r="AA36" s="46" t="str">
        <f>IF(Data!AJ25="x","✓","")</f>
        <v/>
      </c>
      <c r="AB36" s="46" t="str">
        <f>IF(Data!AJ26="x","✓","")</f>
        <v/>
      </c>
      <c r="AC36" s="44" t="str">
        <f>IF(Data!AJ27="x","✓","")</f>
        <v>✓</v>
      </c>
      <c r="AD36" s="46" t="str">
        <f>IF(Data!AJ28="x","✓","")</f>
        <v/>
      </c>
      <c r="AE36" s="46" t="str">
        <f>IF(Data!AJ29="x","✓","")</f>
        <v/>
      </c>
      <c r="AF36" s="46" t="str">
        <f>IF(Data!AJ30="x","✓","")</f>
        <v/>
      </c>
      <c r="AG36" s="46" t="str">
        <f>IF(Data!AJ31="x","✓","")</f>
        <v/>
      </c>
      <c r="AH36" s="46" t="str">
        <f>IF(Data!AJ32="x","✓","")</f>
        <v/>
      </c>
      <c r="AI36" s="44" t="str">
        <f>IF(Data!AJ33="x","✓","")</f>
        <v>✓</v>
      </c>
      <c r="AJ36" s="46" t="str">
        <f>IF(Data!AJ34="x","✓","")</f>
        <v/>
      </c>
      <c r="AK36" s="46" t="str">
        <f>IF(Data!AJ35="x","✓","")</f>
        <v/>
      </c>
      <c r="AL36" s="47" t="str">
        <f>IF(Data!AJ36="x","✓","")</f>
        <v>✓</v>
      </c>
      <c r="AM36" s="46" t="str">
        <f>IF(Data!AJ37="x","✓","")</f>
        <v/>
      </c>
      <c r="AN36" s="47" t="str">
        <f>IF(Data!AJ38="x","✓","")</f>
        <v>✓</v>
      </c>
      <c r="AO36" s="44" t="str">
        <f>IF(Data!AJ39="x","✓","")</f>
        <v>✓</v>
      </c>
      <c r="AP36" s="46" t="str">
        <f>IF(Data!AJ40="x","✓","")</f>
        <v/>
      </c>
      <c r="AQ36" s="46" t="str">
        <f>IF(Data!AJ41="x","✓","")</f>
        <v/>
      </c>
      <c r="AR36" s="46" t="str">
        <f>IF(Data!AJ42="x","✓","")</f>
        <v>✓</v>
      </c>
      <c r="AS36" s="46" t="str">
        <f>IF(Data!AJ43="x","✓","")</f>
        <v/>
      </c>
      <c r="AT36" s="46" t="str">
        <f>IF(Data!AJ44="x","✓","")</f>
        <v/>
      </c>
      <c r="AU36" s="46" t="str">
        <f>IF(Data!AJ45="x","✓","")</f>
        <v/>
      </c>
      <c r="AV36" s="46" t="str">
        <f>IF(Data!AJ46="x","✓","")</f>
        <v/>
      </c>
      <c r="AW36" s="46" t="str">
        <f>IF(Data!AJ47="x","✓","")</f>
        <v/>
      </c>
      <c r="AX36" s="46" t="str">
        <f>IF(Data!AJ48="x","✓","")</f>
        <v/>
      </c>
      <c r="AY36" s="46" t="str">
        <f>IF(Data!AJ49="x","✓","")</f>
        <v/>
      </c>
      <c r="AZ36" s="46" t="str">
        <f>IF(Data!AJ50="x","✓","")</f>
        <v/>
      </c>
      <c r="BA36" s="46" t="str">
        <f>IF(Data!AJ51="x","✓","")</f>
        <v/>
      </c>
      <c r="BB36" s="46" t="str">
        <f>IF(Data!AJ52="x","✓","")</f>
        <v/>
      </c>
      <c r="BC36" s="46" t="str">
        <f>IF(Data!AJ53="x","✓","")</f>
        <v/>
      </c>
      <c r="BD36" s="46" t="str">
        <f>IF(Data!AJ54="x","✓","")</f>
        <v/>
      </c>
      <c r="BE36" s="46" t="str">
        <f>IF(Data!AJ55="x","✓","")</f>
        <v/>
      </c>
      <c r="BF36" s="46" t="str">
        <f>IF(Data!AJ56="x","✓","")</f>
        <v/>
      </c>
      <c r="BG36" s="46" t="str">
        <f>IF(Data!AJ57="x","✓","")</f>
        <v/>
      </c>
      <c r="BH36" s="46" t="str">
        <f>IF(Data!AJ58="x","✓","")</f>
        <v/>
      </c>
      <c r="BI36" s="46" t="str">
        <f>IF(Data!AJ59="x","✓","")</f>
        <v/>
      </c>
      <c r="BJ36" s="46" t="str">
        <f>IF(Data!AJ60="x","✓","")</f>
        <v/>
      </c>
      <c r="BK36" s="46" t="str">
        <f>IF(Data!AJ61="x","✓","")</f>
        <v/>
      </c>
    </row>
    <row r="37" spans="2:63" ht="15.75" customHeight="1">
      <c r="B37" s="41" t="s">
        <v>35</v>
      </c>
      <c r="C37" s="49">
        <f>COUNTIF(Data!AK2:AK61,"x")</f>
        <v>10</v>
      </c>
      <c r="D37" s="47" t="str">
        <f>IF(Data!AK2="x","✓","")</f>
        <v>✓</v>
      </c>
      <c r="E37" s="44" t="str">
        <f>IF(Data!AK3="x","✓","")</f>
        <v>✓</v>
      </c>
      <c r="F37" s="43" t="str">
        <f>IF(Data!AK4="x","✓","")</f>
        <v/>
      </c>
      <c r="G37" s="43" t="str">
        <f>IF(Data!AK5="x","✓","")</f>
        <v/>
      </c>
      <c r="H37" s="43" t="str">
        <f>IF(Data!AK6="x","✓","")</f>
        <v/>
      </c>
      <c r="I37" s="43" t="str">
        <f>IF(Data!AK7="x","✓","")</f>
        <v/>
      </c>
      <c r="J37" s="43" t="str">
        <f>IF(Data!AK8="x","✓","")</f>
        <v/>
      </c>
      <c r="K37" s="43" t="str">
        <f>IF(Data!AK9="x","✓","")</f>
        <v/>
      </c>
      <c r="L37" s="43" t="str">
        <f>IF(Data!AK10="x","✓","")</f>
        <v/>
      </c>
      <c r="M37" s="43" t="str">
        <f>IF(Data!AK11="x","✓","")</f>
        <v/>
      </c>
      <c r="N37" s="43" t="str">
        <f>IF(Data!AK12="x","✓","")</f>
        <v/>
      </c>
      <c r="O37" s="43" t="str">
        <f>IF(Data!AK13="x","✓","")</f>
        <v/>
      </c>
      <c r="P37" s="43" t="str">
        <f>IF(Data!AK14="x","✓","")</f>
        <v/>
      </c>
      <c r="Q37" s="43" t="str">
        <f>IF(Data!AK15="x","✓","")</f>
        <v/>
      </c>
      <c r="R37" s="43" t="str">
        <f>IF(Data!AK16="x","✓","")</f>
        <v/>
      </c>
      <c r="S37" s="43" t="str">
        <f>IF(Data!AK17="x","✓","")</f>
        <v/>
      </c>
      <c r="T37" s="43" t="str">
        <f>IF(Data!AK18="x","✓","")</f>
        <v/>
      </c>
      <c r="U37" s="43" t="str">
        <f>IF(Data!AK19="x","✓","")</f>
        <v/>
      </c>
      <c r="V37" s="47" t="str">
        <f>IF(Data!AK20="x","✓","")</f>
        <v>✓</v>
      </c>
      <c r="W37" s="44" t="str">
        <f>IF(Data!AK21="x","✓","")</f>
        <v>✓</v>
      </c>
      <c r="X37" s="43" t="str">
        <f>IF(Data!AK22="x","✓","")</f>
        <v/>
      </c>
      <c r="Y37" s="44" t="str">
        <f>IF(Data!AK23="x","✓","")</f>
        <v/>
      </c>
      <c r="Z37" s="43" t="str">
        <f>IF(Data!AK24="x","✓","")</f>
        <v/>
      </c>
      <c r="AA37" s="44" t="str">
        <f>IF(Data!AK25="x","✓","")</f>
        <v>✓</v>
      </c>
      <c r="AB37" s="47" t="str">
        <f>IF(Data!AK26="x","✓","")</f>
        <v>✓</v>
      </c>
      <c r="AC37" s="44" t="str">
        <f>IF(Data!AK27="x","✓","")</f>
        <v>✓</v>
      </c>
      <c r="AD37" s="43" t="str">
        <f>IF(Data!AK28="x","✓","")</f>
        <v/>
      </c>
      <c r="AE37" s="43" t="str">
        <f>IF(Data!AK29="x","✓","")</f>
        <v/>
      </c>
      <c r="AF37" s="43" t="str">
        <f>IF(Data!AK30="x","✓","")</f>
        <v/>
      </c>
      <c r="AG37" s="43" t="str">
        <f>IF(Data!AK31="x","✓","")</f>
        <v/>
      </c>
      <c r="AH37" s="43" t="str">
        <f>IF(Data!AK32="x","✓","")</f>
        <v/>
      </c>
      <c r="AI37" s="43" t="str">
        <f>IF(Data!AK33="x","✓","")</f>
        <v/>
      </c>
      <c r="AJ37" s="43" t="str">
        <f>IF(Data!AK34="x","✓","")</f>
        <v/>
      </c>
      <c r="AK37" s="43" t="str">
        <f>IF(Data!AK35="x","✓","")</f>
        <v/>
      </c>
      <c r="AL37" s="43" t="str">
        <f>IF(Data!AK36="x","✓","")</f>
        <v/>
      </c>
      <c r="AM37" s="44" t="str">
        <f>IF(Data!AK37="x","✓","")</f>
        <v>✓</v>
      </c>
      <c r="AN37" s="43" t="str">
        <f>IF(Data!AK38="x","✓","")</f>
        <v/>
      </c>
      <c r="AO37" s="43" t="str">
        <f>IF(Data!AK39="x","✓","")</f>
        <v/>
      </c>
      <c r="AP37" s="43" t="str">
        <f>IF(Data!AK40="x","✓","")</f>
        <v/>
      </c>
      <c r="AQ37" s="44" t="str">
        <f>IF(Data!AK41="x","✓","")</f>
        <v>✓</v>
      </c>
      <c r="AR37" s="43" t="str">
        <f>IF(Data!AK42="x","✓","")</f>
        <v>✓</v>
      </c>
      <c r="AS37" s="43" t="str">
        <f>IF(Data!AK43="x","✓","")</f>
        <v/>
      </c>
      <c r="AT37" s="43" t="str">
        <f>IF(Data!AK44="x","✓","")</f>
        <v/>
      </c>
      <c r="AU37" s="43" t="str">
        <f>IF(Data!AK45="x","✓","")</f>
        <v/>
      </c>
      <c r="AV37" s="43" t="str">
        <f>IF(Data!AK46="x","✓","")</f>
        <v/>
      </c>
      <c r="AW37" s="43" t="str">
        <f>IF(Data!AK47="x","✓","")</f>
        <v/>
      </c>
      <c r="AX37" s="43" t="str">
        <f>IF(Data!AK48="x","✓","")</f>
        <v/>
      </c>
      <c r="AY37" s="43" t="str">
        <f>IF(Data!AK49="x","✓","")</f>
        <v/>
      </c>
      <c r="AZ37" s="43" t="str">
        <f>IF(Data!AK50="x","✓","")</f>
        <v/>
      </c>
      <c r="BA37" s="43" t="str">
        <f>IF(Data!AK51="x","✓","")</f>
        <v/>
      </c>
      <c r="BB37" s="43" t="str">
        <f>IF(Data!AK52="x","✓","")</f>
        <v/>
      </c>
      <c r="BC37" s="43" t="str">
        <f>IF(Data!AK53="x","✓","")</f>
        <v/>
      </c>
      <c r="BD37" s="43" t="str">
        <f>IF(Data!AK54="x","✓","")</f>
        <v/>
      </c>
      <c r="BE37" s="43" t="str">
        <f>IF(Data!AK55="x","✓","")</f>
        <v/>
      </c>
      <c r="BF37" s="43" t="str">
        <f>IF(Data!AK56="x","✓","")</f>
        <v/>
      </c>
      <c r="BG37" s="43" t="str">
        <f>IF(Data!AK57="x","✓","")</f>
        <v/>
      </c>
      <c r="BH37" s="43" t="str">
        <f>IF(Data!AK58="x","✓","")</f>
        <v/>
      </c>
      <c r="BI37" s="43" t="str">
        <f>IF(Data!AK59="x","✓","")</f>
        <v/>
      </c>
      <c r="BJ37" s="43" t="str">
        <f>IF(Data!AK60="x","✓","")</f>
        <v/>
      </c>
      <c r="BK37" s="43" t="str">
        <f>IF(Data!AK61="x","✓","")</f>
        <v/>
      </c>
    </row>
    <row r="38" spans="2:63" ht="15.75" customHeight="1">
      <c r="B38" s="45" t="s">
        <v>36</v>
      </c>
      <c r="C38" s="42">
        <f>COUNTIF(Data!AL2:AL61,"x")</f>
        <v>5</v>
      </c>
      <c r="D38" s="46" t="str">
        <f>IF(Data!AL2="x","✓","")</f>
        <v/>
      </c>
      <c r="E38" s="46" t="str">
        <f>IF(Data!AL3="x","✓","")</f>
        <v/>
      </c>
      <c r="F38" s="46" t="str">
        <f>IF(Data!AL4="x","✓","")</f>
        <v/>
      </c>
      <c r="G38" s="46" t="str">
        <f>IF(Data!AL5="x","✓","")</f>
        <v/>
      </c>
      <c r="H38" s="46" t="str">
        <f>IF(Data!AL6="x","✓","")</f>
        <v/>
      </c>
      <c r="I38" s="46" t="str">
        <f>IF(Data!AL7="x","✓","")</f>
        <v/>
      </c>
      <c r="J38" s="46" t="str">
        <f>IF(Data!AL8="x","✓","")</f>
        <v/>
      </c>
      <c r="K38" s="46" t="str">
        <f>IF(Data!AL9="x","✓","")</f>
        <v/>
      </c>
      <c r="L38" s="46" t="str">
        <f>IF(Data!AL10="x","✓","")</f>
        <v/>
      </c>
      <c r="M38" s="46" t="str">
        <f>IF(Data!AL11="x","✓","")</f>
        <v/>
      </c>
      <c r="N38" s="46" t="str">
        <f>IF(Data!AL12="x","✓","")</f>
        <v/>
      </c>
      <c r="O38" s="46" t="str">
        <f>IF(Data!AL13="x","✓","")</f>
        <v/>
      </c>
      <c r="P38" s="46" t="str">
        <f>IF(Data!AL14="x","✓","")</f>
        <v/>
      </c>
      <c r="Q38" s="44" t="str">
        <f>IF(Data!AL15="x","✓","")</f>
        <v>✓</v>
      </c>
      <c r="R38" s="46" t="str">
        <f>IF(Data!AL16="x","✓","")</f>
        <v/>
      </c>
      <c r="S38" s="46" t="str">
        <f>IF(Data!AL17="x","✓","")</f>
        <v/>
      </c>
      <c r="T38" s="46" t="str">
        <f>IF(Data!AL18="x","✓","")</f>
        <v/>
      </c>
      <c r="U38" s="46" t="str">
        <f>IF(Data!AL19="x","✓","")</f>
        <v/>
      </c>
      <c r="V38" s="46" t="str">
        <f>IF(Data!AL20="x","✓","")</f>
        <v/>
      </c>
      <c r="W38" s="46" t="str">
        <f>IF(Data!AL21="x","✓","")</f>
        <v/>
      </c>
      <c r="X38" s="46" t="str">
        <f>IF(Data!AL22="x","✓","")</f>
        <v/>
      </c>
      <c r="Y38" s="46" t="str">
        <f>IF(Data!AL23="x","✓","")</f>
        <v/>
      </c>
      <c r="Z38" s="46" t="str">
        <f>IF(Data!AL24="x","✓","")</f>
        <v/>
      </c>
      <c r="AA38" s="46" t="str">
        <f>IF(Data!AL25="x","✓","")</f>
        <v/>
      </c>
      <c r="AB38" s="46" t="str">
        <f>IF(Data!AL26="x","✓","")</f>
        <v/>
      </c>
      <c r="AC38" s="46" t="str">
        <f>IF(Data!AL27="x","✓","")</f>
        <v/>
      </c>
      <c r="AD38" s="46" t="str">
        <f>IF(Data!AL28="x","✓","")</f>
        <v/>
      </c>
      <c r="AE38" s="46" t="str">
        <f>IF(Data!AL29="x","✓","")</f>
        <v/>
      </c>
      <c r="AF38" s="47" t="str">
        <f>IF(Data!AL30="x","✓","")</f>
        <v>✓</v>
      </c>
      <c r="AG38" s="46" t="str">
        <f>IF(Data!AL31="x","✓","")</f>
        <v/>
      </c>
      <c r="AH38" s="47" t="str">
        <f>IF(Data!AL32="x","✓","")</f>
        <v>✓</v>
      </c>
      <c r="AI38" s="46" t="str">
        <f>IF(Data!AL33="x","✓","")</f>
        <v/>
      </c>
      <c r="AJ38" s="46" t="str">
        <f>IF(Data!AL34="x","✓","")</f>
        <v/>
      </c>
      <c r="AK38" s="46" t="str">
        <f>IF(Data!AL35="x","✓","")</f>
        <v/>
      </c>
      <c r="AL38" s="47" t="str">
        <f>IF(Data!AL36="x","✓","")</f>
        <v>✓</v>
      </c>
      <c r="AM38" s="46" t="str">
        <f>IF(Data!AL37="x","✓","")</f>
        <v/>
      </c>
      <c r="AN38" s="46" t="str">
        <f>IF(Data!AL38="x","✓","")</f>
        <v/>
      </c>
      <c r="AO38" s="46" t="str">
        <f>IF(Data!AL39="x","✓","")</f>
        <v/>
      </c>
      <c r="AP38" s="46" t="str">
        <f>IF(Data!AL40="x","✓","")</f>
        <v/>
      </c>
      <c r="AQ38" s="46" t="str">
        <f>IF(Data!AL41="x","✓","")</f>
        <v/>
      </c>
      <c r="AR38" s="46" t="str">
        <f>IF(Data!AL42="x","✓","")</f>
        <v>✓</v>
      </c>
      <c r="AS38" s="46" t="str">
        <f>IF(Data!AL43="x","✓","")</f>
        <v/>
      </c>
      <c r="AT38" s="46" t="str">
        <f>IF(Data!AL44="x","✓","")</f>
        <v/>
      </c>
      <c r="AU38" s="46" t="str">
        <f>IF(Data!AL45="x","✓","")</f>
        <v/>
      </c>
      <c r="AV38" s="46" t="str">
        <f>IF(Data!AL46="x","✓","")</f>
        <v/>
      </c>
      <c r="AW38" s="46" t="str">
        <f>IF(Data!AL47="x","✓","")</f>
        <v/>
      </c>
      <c r="AX38" s="46" t="str">
        <f>IF(Data!AL48="x","✓","")</f>
        <v/>
      </c>
      <c r="AY38" s="46" t="str">
        <f>IF(Data!AL49="x","✓","")</f>
        <v/>
      </c>
      <c r="AZ38" s="46" t="str">
        <f>IF(Data!AL50="x","✓","")</f>
        <v/>
      </c>
      <c r="BA38" s="46" t="str">
        <f>IF(Data!AL51="x","✓","")</f>
        <v/>
      </c>
      <c r="BB38" s="46" t="str">
        <f>IF(Data!AL52="x","✓","")</f>
        <v/>
      </c>
      <c r="BC38" s="46" t="str">
        <f>IF(Data!AL53="x","✓","")</f>
        <v/>
      </c>
      <c r="BD38" s="46" t="str">
        <f>IF(Data!AL54="x","✓","")</f>
        <v/>
      </c>
      <c r="BE38" s="46" t="str">
        <f>IF(Data!AL55="x","✓","")</f>
        <v/>
      </c>
      <c r="BF38" s="46" t="str">
        <f>IF(Data!AL56="x","✓","")</f>
        <v/>
      </c>
      <c r="BG38" s="46" t="str">
        <f>IF(Data!AL57="x","✓","")</f>
        <v/>
      </c>
      <c r="BH38" s="46" t="str">
        <f>IF(Data!AL58="x","✓","")</f>
        <v/>
      </c>
      <c r="BI38" s="46" t="str">
        <f>IF(Data!AL59="x","✓","")</f>
        <v/>
      </c>
      <c r="BJ38" s="46" t="str">
        <f>IF(Data!AL60="x","✓","")</f>
        <v/>
      </c>
      <c r="BK38" s="46" t="str">
        <f>IF(Data!AL61="x","✓","")</f>
        <v/>
      </c>
    </row>
    <row r="39" spans="2:63" ht="15.75" customHeight="1">
      <c r="B39" s="41" t="s">
        <v>37</v>
      </c>
      <c r="C39" s="42">
        <f>COUNTIF(Data!AM2:AM61,"x")</f>
        <v>4</v>
      </c>
      <c r="D39" s="43" t="str">
        <f>IF(Data!AM2="x","✓","")</f>
        <v/>
      </c>
      <c r="E39" s="43" t="str">
        <f>IF(Data!AM3="x","✓","")</f>
        <v/>
      </c>
      <c r="F39" s="43" t="str">
        <f>IF(Data!AM4="x","✓","")</f>
        <v/>
      </c>
      <c r="G39" s="43" t="str">
        <f>IF(Data!AM5="x","✓","")</f>
        <v/>
      </c>
      <c r="H39" s="43" t="str">
        <f>IF(Data!AM6="x","✓","")</f>
        <v/>
      </c>
      <c r="I39" s="43" t="str">
        <f>IF(Data!AM7="x","✓","")</f>
        <v/>
      </c>
      <c r="J39" s="43" t="str">
        <f>IF(Data!AM8="x","✓","")</f>
        <v/>
      </c>
      <c r="K39" s="43" t="str">
        <f>IF(Data!AM9="x","✓","")</f>
        <v/>
      </c>
      <c r="L39" s="43" t="str">
        <f>IF(Data!AM10="x","✓","")</f>
        <v/>
      </c>
      <c r="M39" s="43" t="str">
        <f>IF(Data!AM11="x","✓","")</f>
        <v/>
      </c>
      <c r="N39" s="43" t="str">
        <f>IF(Data!AM12="x","✓","")</f>
        <v/>
      </c>
      <c r="O39" s="43" t="str">
        <f>IF(Data!AM13="x","✓","")</f>
        <v/>
      </c>
      <c r="P39" s="43" t="str">
        <f>IF(Data!AM14="x","✓","")</f>
        <v/>
      </c>
      <c r="Q39" s="44" t="str">
        <f>IF(Data!AM15="x","✓","")</f>
        <v>✓</v>
      </c>
      <c r="R39" s="43" t="str">
        <f>IF(Data!AM16="x","✓","")</f>
        <v/>
      </c>
      <c r="S39" s="43" t="str">
        <f>IF(Data!AM17="x","✓","")</f>
        <v/>
      </c>
      <c r="T39" s="43" t="str">
        <f>IF(Data!AM18="x","✓","")</f>
        <v/>
      </c>
      <c r="U39" s="43" t="str">
        <f>IF(Data!AM19="x","✓","")</f>
        <v/>
      </c>
      <c r="V39" s="43" t="str">
        <f>IF(Data!AM20="x","✓","")</f>
        <v/>
      </c>
      <c r="W39" s="43" t="str">
        <f>IF(Data!AM21="x","✓","")</f>
        <v/>
      </c>
      <c r="X39" s="43" t="str">
        <f>IF(Data!AM22="x","✓","")</f>
        <v/>
      </c>
      <c r="Y39" s="43" t="str">
        <f>IF(Data!AM23="x","✓","")</f>
        <v/>
      </c>
      <c r="Z39" s="43" t="str">
        <f>IF(Data!AM24="x","✓","")</f>
        <v/>
      </c>
      <c r="AA39" s="43" t="str">
        <f>IF(Data!AM25="x","✓","")</f>
        <v/>
      </c>
      <c r="AB39" s="43" t="str">
        <f>IF(Data!AM26="x","✓","")</f>
        <v/>
      </c>
      <c r="AC39" s="43" t="str">
        <f>IF(Data!AM27="x","✓","")</f>
        <v/>
      </c>
      <c r="AD39" s="43" t="str">
        <f>IF(Data!AM28="x","✓","")</f>
        <v/>
      </c>
      <c r="AE39" s="43" t="str">
        <f>IF(Data!AM29="x","✓","")</f>
        <v/>
      </c>
      <c r="AF39" s="47" t="str">
        <f>IF(Data!AM30="x","✓","")</f>
        <v>✓</v>
      </c>
      <c r="AG39" s="43" t="str">
        <f>IF(Data!AM31="x","✓","")</f>
        <v/>
      </c>
      <c r="AH39" s="43" t="str">
        <f>IF(Data!AM32="x","✓","")</f>
        <v/>
      </c>
      <c r="AI39" s="43" t="str">
        <f>IF(Data!AM33="x","✓","")</f>
        <v/>
      </c>
      <c r="AJ39" s="43" t="str">
        <f>IF(Data!AM34="x","✓","")</f>
        <v/>
      </c>
      <c r="AK39" s="43" t="str">
        <f>IF(Data!AM35="x","✓","")</f>
        <v/>
      </c>
      <c r="AL39" s="47" t="str">
        <f>IF(Data!AM36="x","✓","")</f>
        <v>✓</v>
      </c>
      <c r="AM39" s="43" t="str">
        <f>IF(Data!AM37="x","✓","")</f>
        <v/>
      </c>
      <c r="AN39" s="43" t="str">
        <f>IF(Data!AM38="x","✓","")</f>
        <v/>
      </c>
      <c r="AO39" s="43" t="str">
        <f>IF(Data!AM39="x","✓","")</f>
        <v/>
      </c>
      <c r="AP39" s="43" t="str">
        <f>IF(Data!AM40="x","✓","")</f>
        <v/>
      </c>
      <c r="AQ39" s="43" t="str">
        <f>IF(Data!AM41="x","✓","")</f>
        <v/>
      </c>
      <c r="AR39" s="43" t="str">
        <f>IF(Data!AM42="x","✓","")</f>
        <v>✓</v>
      </c>
      <c r="AS39" s="43" t="str">
        <f>IF(Data!AM43="x","✓","")</f>
        <v/>
      </c>
      <c r="AT39" s="43" t="str">
        <f>IF(Data!AM44="x","✓","")</f>
        <v/>
      </c>
      <c r="AU39" s="43" t="str">
        <f>IF(Data!AM45="x","✓","")</f>
        <v/>
      </c>
      <c r="AV39" s="43" t="str">
        <f>IF(Data!AM46="x","✓","")</f>
        <v/>
      </c>
      <c r="AW39" s="43" t="str">
        <f>IF(Data!AM47="x","✓","")</f>
        <v/>
      </c>
      <c r="AX39" s="43" t="str">
        <f>IF(Data!AM48="x","✓","")</f>
        <v/>
      </c>
      <c r="AY39" s="43" t="str">
        <f>IF(Data!AM49="x","✓","")</f>
        <v/>
      </c>
      <c r="AZ39" s="43" t="str">
        <f>IF(Data!AM50="x","✓","")</f>
        <v/>
      </c>
      <c r="BA39" s="43" t="str">
        <f>IF(Data!AM51="x","✓","")</f>
        <v/>
      </c>
      <c r="BB39" s="43" t="str">
        <f>IF(Data!AM52="x","✓","")</f>
        <v/>
      </c>
      <c r="BC39" s="43" t="str">
        <f>IF(Data!AM53="x","✓","")</f>
        <v/>
      </c>
      <c r="BD39" s="43" t="str">
        <f>IF(Data!AM54="x","✓","")</f>
        <v/>
      </c>
      <c r="BE39" s="43" t="str">
        <f>IF(Data!AM55="x","✓","")</f>
        <v/>
      </c>
      <c r="BF39" s="43" t="str">
        <f>IF(Data!AM56="x","✓","")</f>
        <v/>
      </c>
      <c r="BG39" s="43" t="str">
        <f>IF(Data!AM57="x","✓","")</f>
        <v/>
      </c>
      <c r="BH39" s="43" t="str">
        <f>IF(Data!AM58="x","✓","")</f>
        <v/>
      </c>
      <c r="BI39" s="43" t="str">
        <f>IF(Data!AM59="x","✓","")</f>
        <v/>
      </c>
      <c r="BJ39" s="43" t="str">
        <f>IF(Data!AM60="x","✓","")</f>
        <v/>
      </c>
      <c r="BK39" s="43" t="str">
        <f>IF(Data!AM61="x","✓","")</f>
        <v/>
      </c>
    </row>
    <row r="40" spans="2:63" ht="15.75" customHeight="1">
      <c r="B40" s="45" t="s">
        <v>38</v>
      </c>
      <c r="C40" s="42">
        <f>COUNTIF(Data!AN2:AN61,"x")</f>
        <v>5</v>
      </c>
      <c r="D40" s="46" t="str">
        <f>IF(Data!AN2="x","✓","")</f>
        <v/>
      </c>
      <c r="E40" s="46" t="str">
        <f>IF(Data!AN3="x","✓","")</f>
        <v/>
      </c>
      <c r="F40" s="46" t="str">
        <f>IF(Data!AN4="x","✓","")</f>
        <v/>
      </c>
      <c r="G40" s="46" t="str">
        <f>IF(Data!AN5="x","✓","")</f>
        <v/>
      </c>
      <c r="H40" s="46" t="str">
        <f>IF(Data!AN6="x","✓","")</f>
        <v/>
      </c>
      <c r="I40" s="46" t="str">
        <f>IF(Data!AN7="x","✓","")</f>
        <v/>
      </c>
      <c r="J40" s="46" t="str">
        <f>IF(Data!AN8="x","✓","")</f>
        <v/>
      </c>
      <c r="K40" s="46" t="str">
        <f>IF(Data!AN9="x","✓","")</f>
        <v/>
      </c>
      <c r="L40" s="46" t="str">
        <f>IF(Data!AN10="x","✓","")</f>
        <v/>
      </c>
      <c r="M40" s="46" t="str">
        <f>IF(Data!AN11="x","✓","")</f>
        <v/>
      </c>
      <c r="N40" s="46" t="str">
        <f>IF(Data!AN12="x","✓","")</f>
        <v/>
      </c>
      <c r="O40" s="46" t="str">
        <f>IF(Data!AN13="x","✓","")</f>
        <v/>
      </c>
      <c r="P40" s="46" t="str">
        <f>IF(Data!AN14="x","✓","")</f>
        <v/>
      </c>
      <c r="Q40" s="44" t="str">
        <f>IF(Data!AN15="x","✓","")</f>
        <v>✓</v>
      </c>
      <c r="R40" s="46" t="str">
        <f>IF(Data!AN16="x","✓","")</f>
        <v/>
      </c>
      <c r="S40" s="46" t="str">
        <f>IF(Data!AN17="x","✓","")</f>
        <v/>
      </c>
      <c r="T40" s="46" t="str">
        <f>IF(Data!AN18="x","✓","")</f>
        <v/>
      </c>
      <c r="U40" s="46" t="str">
        <f>IF(Data!AN19="x","✓","")</f>
        <v/>
      </c>
      <c r="V40" s="46" t="str">
        <f>IF(Data!AN20="x","✓","")</f>
        <v/>
      </c>
      <c r="W40" s="46" t="str">
        <f>IF(Data!AN21="x","✓","")</f>
        <v/>
      </c>
      <c r="X40" s="46" t="str">
        <f>IF(Data!AN22="x","✓","")</f>
        <v/>
      </c>
      <c r="Y40" s="46" t="str">
        <f>IF(Data!AN23="x","✓","")</f>
        <v/>
      </c>
      <c r="Z40" s="46" t="str">
        <f>IF(Data!AN24="x","✓","")</f>
        <v/>
      </c>
      <c r="AA40" s="46" t="str">
        <f>IF(Data!AN25="x","✓","")</f>
        <v/>
      </c>
      <c r="AB40" s="46" t="str">
        <f>IF(Data!AN26="x","✓","")</f>
        <v/>
      </c>
      <c r="AC40" s="46" t="str">
        <f>IF(Data!AN27="x","✓","")</f>
        <v/>
      </c>
      <c r="AD40" s="46" t="str">
        <f>IF(Data!AN28="x","✓","")</f>
        <v/>
      </c>
      <c r="AE40" s="46" t="str">
        <f>IF(Data!AN29="x","✓","")</f>
        <v/>
      </c>
      <c r="AF40" s="47" t="str">
        <f>IF(Data!AN30="x","✓","")</f>
        <v>✓</v>
      </c>
      <c r="AG40" s="46" t="str">
        <f>IF(Data!AN31="x","✓","")</f>
        <v/>
      </c>
      <c r="AH40" s="47" t="str">
        <f>IF(Data!AN32="x","✓","")</f>
        <v>✓</v>
      </c>
      <c r="AI40" s="46" t="str">
        <f>IF(Data!AN33="x","✓","")</f>
        <v/>
      </c>
      <c r="AJ40" s="46" t="str">
        <f>IF(Data!AN34="x","✓","")</f>
        <v/>
      </c>
      <c r="AK40" s="44" t="str">
        <f>IF(Data!AN35="x","✓","")</f>
        <v>✓</v>
      </c>
      <c r="AL40" s="46" t="str">
        <f>IF(Data!AN36="x","✓","")</f>
        <v/>
      </c>
      <c r="AM40" s="46" t="str">
        <f>IF(Data!AN37="x","✓","")</f>
        <v/>
      </c>
      <c r="AN40" s="46" t="str">
        <f>IF(Data!AN38="x","✓","")</f>
        <v/>
      </c>
      <c r="AO40" s="46" t="str">
        <f>IF(Data!AN39="x","✓","")</f>
        <v/>
      </c>
      <c r="AP40" s="46" t="str">
        <f>IF(Data!AN40="x","✓","")</f>
        <v/>
      </c>
      <c r="AQ40" s="46" t="str">
        <f>IF(Data!AN41="x","✓","")</f>
        <v/>
      </c>
      <c r="AR40" s="46" t="str">
        <f>IF(Data!AN42="x","✓","")</f>
        <v>✓</v>
      </c>
      <c r="AS40" s="46" t="str">
        <f>IF(Data!AN43="x","✓","")</f>
        <v/>
      </c>
      <c r="AT40" s="46" t="str">
        <f>IF(Data!AN44="x","✓","")</f>
        <v/>
      </c>
      <c r="AU40" s="46" t="str">
        <f>IF(Data!AN45="x","✓","")</f>
        <v/>
      </c>
      <c r="AV40" s="46" t="str">
        <f>IF(Data!AN46="x","✓","")</f>
        <v/>
      </c>
      <c r="AW40" s="46" t="str">
        <f>IF(Data!AN47="x","✓","")</f>
        <v/>
      </c>
      <c r="AX40" s="46" t="str">
        <f>IF(Data!AN48="x","✓","")</f>
        <v/>
      </c>
      <c r="AY40" s="46" t="str">
        <f>IF(Data!AN49="x","✓","")</f>
        <v/>
      </c>
      <c r="AZ40" s="46" t="str">
        <f>IF(Data!AN50="x","✓","")</f>
        <v/>
      </c>
      <c r="BA40" s="46" t="str">
        <f>IF(Data!AN51="x","✓","")</f>
        <v/>
      </c>
      <c r="BB40" s="46" t="str">
        <f>IF(Data!AN52="x","✓","")</f>
        <v/>
      </c>
      <c r="BC40" s="46" t="str">
        <f>IF(Data!AN53="x","✓","")</f>
        <v/>
      </c>
      <c r="BD40" s="46" t="str">
        <f>IF(Data!AN54="x","✓","")</f>
        <v/>
      </c>
      <c r="BE40" s="46" t="str">
        <f>IF(Data!AN55="x","✓","")</f>
        <v/>
      </c>
      <c r="BF40" s="46" t="str">
        <f>IF(Data!AN56="x","✓","")</f>
        <v/>
      </c>
      <c r="BG40" s="46" t="str">
        <f>IF(Data!AN57="x","✓","")</f>
        <v/>
      </c>
      <c r="BH40" s="46" t="str">
        <f>IF(Data!AN58="x","✓","")</f>
        <v/>
      </c>
      <c r="BI40" s="46" t="str">
        <f>IF(Data!AN59="x","✓","")</f>
        <v/>
      </c>
      <c r="BJ40" s="46" t="str">
        <f>IF(Data!AN60="x","✓","")</f>
        <v/>
      </c>
      <c r="BK40" s="46" t="str">
        <f>IF(Data!AN61="x","✓","")</f>
        <v/>
      </c>
    </row>
    <row r="41" spans="2:63" ht="15.75" customHeight="1">
      <c r="B41" s="41" t="s">
        <v>39</v>
      </c>
      <c r="C41" s="42">
        <f>COUNTIF(Data!AO2:AO61,"x")</f>
        <v>6</v>
      </c>
      <c r="D41" s="43" t="str">
        <f>IF(Data!AO2="x","✓","")</f>
        <v/>
      </c>
      <c r="E41" s="43" t="str">
        <f>IF(Data!AO3="x","✓","")</f>
        <v/>
      </c>
      <c r="F41" s="43" t="str">
        <f>IF(Data!AO4="x","✓","")</f>
        <v/>
      </c>
      <c r="G41" s="43" t="str">
        <f>IF(Data!AO5="x","✓","")</f>
        <v/>
      </c>
      <c r="H41" s="43" t="str">
        <f>IF(Data!AO6="x","✓","")</f>
        <v/>
      </c>
      <c r="I41" s="43" t="str">
        <f>IF(Data!AO7="x","✓","")</f>
        <v/>
      </c>
      <c r="J41" s="43" t="str">
        <f>IF(Data!AO8="x","✓","")</f>
        <v/>
      </c>
      <c r="K41" s="43" t="str">
        <f>IF(Data!AO9="x","✓","")</f>
        <v/>
      </c>
      <c r="L41" s="43" t="str">
        <f>IF(Data!AO10="x","✓","")</f>
        <v/>
      </c>
      <c r="M41" s="43" t="str">
        <f>IF(Data!AO11="x","✓","")</f>
        <v/>
      </c>
      <c r="N41" s="43" t="str">
        <f>IF(Data!AO12="x","✓","")</f>
        <v/>
      </c>
      <c r="O41" s="43" t="str">
        <f>IF(Data!AO13="x","✓","")</f>
        <v/>
      </c>
      <c r="P41" s="43" t="str">
        <f>IF(Data!AO14="x","✓","")</f>
        <v/>
      </c>
      <c r="Q41" s="44" t="str">
        <f>IF(Data!AO15="x","✓","")</f>
        <v>✓</v>
      </c>
      <c r="R41" s="43" t="str">
        <f>IF(Data!AO16="x","✓","")</f>
        <v/>
      </c>
      <c r="S41" s="43" t="str">
        <f>IF(Data!AO17="x","✓","")</f>
        <v/>
      </c>
      <c r="T41" s="43" t="str">
        <f>IF(Data!AO18="x","✓","")</f>
        <v/>
      </c>
      <c r="U41" s="44" t="str">
        <f>IF(Data!AO19="x","✓","")</f>
        <v>✓</v>
      </c>
      <c r="V41" s="43" t="str">
        <f>IF(Data!AO20="x","✓","")</f>
        <v/>
      </c>
      <c r="W41" s="43" t="str">
        <f>IF(Data!AO21="x","✓","")</f>
        <v/>
      </c>
      <c r="X41" s="43" t="str">
        <f>IF(Data!AO22="x","✓","")</f>
        <v/>
      </c>
      <c r="Y41" s="43" t="str">
        <f>IF(Data!AO23="x","✓","")</f>
        <v/>
      </c>
      <c r="Z41" s="43" t="str">
        <f>IF(Data!AO24="x","✓","")</f>
        <v/>
      </c>
      <c r="AA41" s="43" t="str">
        <f>IF(Data!AO25="x","✓","")</f>
        <v/>
      </c>
      <c r="AB41" s="43" t="str">
        <f>IF(Data!AO26="x","✓","")</f>
        <v/>
      </c>
      <c r="AC41" s="43" t="str">
        <f>IF(Data!AO27="x","✓","")</f>
        <v/>
      </c>
      <c r="AD41" s="43" t="str">
        <f>IF(Data!AO28="x","✓","")</f>
        <v/>
      </c>
      <c r="AE41" s="43" t="str">
        <f>IF(Data!AO29="x","✓","")</f>
        <v/>
      </c>
      <c r="AF41" s="47" t="str">
        <f>IF(Data!AO30="x","✓","")</f>
        <v>✓</v>
      </c>
      <c r="AG41" s="43" t="str">
        <f>IF(Data!AO31="x","✓","")</f>
        <v/>
      </c>
      <c r="AH41" s="43" t="str">
        <f>IF(Data!AO32="x","✓","")</f>
        <v/>
      </c>
      <c r="AI41" s="44" t="str">
        <f>IF(Data!AO33="x","✓","")</f>
        <v>✓</v>
      </c>
      <c r="AJ41" s="43" t="str">
        <f>IF(Data!AO34="x","✓","")</f>
        <v/>
      </c>
      <c r="AK41" s="43" t="str">
        <f>IF(Data!AO35="x","✓","")</f>
        <v/>
      </c>
      <c r="AL41" s="47" t="str">
        <f>IF(Data!AO36="x","✓","")</f>
        <v>✓</v>
      </c>
      <c r="AM41" s="43" t="str">
        <f>IF(Data!AO37="x","✓","")</f>
        <v/>
      </c>
      <c r="AN41" s="43" t="str">
        <f>IF(Data!AO38="x","✓","")</f>
        <v/>
      </c>
      <c r="AO41" s="43" t="str">
        <f>IF(Data!AO39="x","✓","")</f>
        <v/>
      </c>
      <c r="AP41" s="43" t="str">
        <f>IF(Data!AO40="x","✓","")</f>
        <v/>
      </c>
      <c r="AQ41" s="43" t="str">
        <f>IF(Data!AO41="x","✓","")</f>
        <v/>
      </c>
      <c r="AR41" s="43" t="str">
        <f>IF(Data!AO42="x","✓","")</f>
        <v>✓</v>
      </c>
      <c r="AS41" s="43" t="str">
        <f>IF(Data!AO43="x","✓","")</f>
        <v/>
      </c>
      <c r="AT41" s="43" t="str">
        <f>IF(Data!AO44="x","✓","")</f>
        <v/>
      </c>
      <c r="AU41" s="43" t="str">
        <f>IF(Data!AO45="x","✓","")</f>
        <v/>
      </c>
      <c r="AV41" s="43" t="str">
        <f>IF(Data!AO46="x","✓","")</f>
        <v/>
      </c>
      <c r="AW41" s="43" t="str">
        <f>IF(Data!AO47="x","✓","")</f>
        <v/>
      </c>
      <c r="AX41" s="43" t="str">
        <f>IF(Data!AO48="x","✓","")</f>
        <v/>
      </c>
      <c r="AY41" s="43" t="str">
        <f>IF(Data!AO49="x","✓","")</f>
        <v/>
      </c>
      <c r="AZ41" s="43" t="str">
        <f>IF(Data!AO50="x","✓","")</f>
        <v/>
      </c>
      <c r="BA41" s="43" t="str">
        <f>IF(Data!AO51="x","✓","")</f>
        <v/>
      </c>
      <c r="BB41" s="43" t="str">
        <f>IF(Data!AO52="x","✓","")</f>
        <v/>
      </c>
      <c r="BC41" s="43" t="str">
        <f>IF(Data!AO53="x","✓","")</f>
        <v/>
      </c>
      <c r="BD41" s="43" t="str">
        <f>IF(Data!AO54="x","✓","")</f>
        <v/>
      </c>
      <c r="BE41" s="43" t="str">
        <f>IF(Data!AO55="x","✓","")</f>
        <v/>
      </c>
      <c r="BF41" s="43" t="str">
        <f>IF(Data!AO56="x","✓","")</f>
        <v/>
      </c>
      <c r="BG41" s="43" t="str">
        <f>IF(Data!AO57="x","✓","")</f>
        <v/>
      </c>
      <c r="BH41" s="43" t="str">
        <f>IF(Data!AO58="x","✓","")</f>
        <v/>
      </c>
      <c r="BI41" s="43" t="str">
        <f>IF(Data!AO59="x","✓","")</f>
        <v/>
      </c>
      <c r="BJ41" s="43" t="str">
        <f>IF(Data!AO60="x","✓","")</f>
        <v/>
      </c>
      <c r="BK41" s="43" t="str">
        <f>IF(Data!AO61="x","✓","")</f>
        <v/>
      </c>
    </row>
    <row r="42" spans="2:63" ht="15.75" customHeight="1">
      <c r="B42" s="45" t="s">
        <v>40</v>
      </c>
      <c r="C42" s="42">
        <f>COUNTIF(Data!AP2:AP61,"x")</f>
        <v>4</v>
      </c>
      <c r="D42" s="46" t="str">
        <f>IF(Data!AP2="x","✓","")</f>
        <v/>
      </c>
      <c r="E42" s="46" t="str">
        <f>IF(Data!AP3="x","✓","")</f>
        <v/>
      </c>
      <c r="F42" s="46" t="str">
        <f>IF(Data!AP4="x","✓","")</f>
        <v/>
      </c>
      <c r="G42" s="46" t="str">
        <f>IF(Data!AP5="x","✓","")</f>
        <v/>
      </c>
      <c r="H42" s="46" t="str">
        <f>IF(Data!AP6="x","✓","")</f>
        <v/>
      </c>
      <c r="I42" s="46" t="str">
        <f>IF(Data!AP7="x","✓","")</f>
        <v/>
      </c>
      <c r="J42" s="46" t="str">
        <f>IF(Data!AP8="x","✓","")</f>
        <v/>
      </c>
      <c r="K42" s="46" t="str">
        <f>IF(Data!AP9="x","✓","")</f>
        <v/>
      </c>
      <c r="L42" s="46" t="str">
        <f>IF(Data!AP10="x","✓","")</f>
        <v/>
      </c>
      <c r="M42" s="46" t="str">
        <f>IF(Data!AP11="x","✓","")</f>
        <v/>
      </c>
      <c r="N42" s="46" t="str">
        <f>IF(Data!AP12="x","✓","")</f>
        <v/>
      </c>
      <c r="O42" s="46" t="str">
        <f>IF(Data!AP13="x","✓","")</f>
        <v/>
      </c>
      <c r="P42" s="46" t="str">
        <f>IF(Data!AP14="x","✓","")</f>
        <v/>
      </c>
      <c r="Q42" s="46" t="str">
        <f>IF(Data!AP15="x","✓","")</f>
        <v/>
      </c>
      <c r="R42" s="46" t="str">
        <f>IF(Data!AP16="x","✓","")</f>
        <v/>
      </c>
      <c r="S42" s="46" t="str">
        <f>IF(Data!AP17="x","✓","")</f>
        <v/>
      </c>
      <c r="T42" s="46" t="str">
        <f>IF(Data!AP18="x","✓","")</f>
        <v/>
      </c>
      <c r="U42" s="46" t="str">
        <f>IF(Data!AP19="x","✓","")</f>
        <v/>
      </c>
      <c r="V42" s="46" t="str">
        <f>IF(Data!AP20="x","✓","")</f>
        <v/>
      </c>
      <c r="W42" s="46" t="str">
        <f>IF(Data!AP21="x","✓","")</f>
        <v/>
      </c>
      <c r="X42" s="46" t="str">
        <f>IF(Data!AP22="x","✓","")</f>
        <v/>
      </c>
      <c r="Y42" s="46" t="str">
        <f>IF(Data!AP23="x","✓","")</f>
        <v/>
      </c>
      <c r="Z42" s="46" t="str">
        <f>IF(Data!AP24="x","✓","")</f>
        <v/>
      </c>
      <c r="AA42" s="46" t="str">
        <f>IF(Data!AP25="x","✓","")</f>
        <v/>
      </c>
      <c r="AB42" s="46" t="str">
        <f>IF(Data!AP26="x","✓","")</f>
        <v/>
      </c>
      <c r="AC42" s="46" t="str">
        <f>IF(Data!AP27="x","✓","")</f>
        <v/>
      </c>
      <c r="AD42" s="46" t="str">
        <f>IF(Data!AP28="x","✓","")</f>
        <v/>
      </c>
      <c r="AE42" s="46" t="str">
        <f>IF(Data!AP29="x","✓","")</f>
        <v/>
      </c>
      <c r="AF42" s="47" t="str">
        <f>IF(Data!AP30="x","✓","")</f>
        <v>✓</v>
      </c>
      <c r="AG42" s="46" t="str">
        <f>IF(Data!AP31="x","✓","")</f>
        <v/>
      </c>
      <c r="AH42" s="47" t="str">
        <f>IF(Data!AP32="x","✓","")</f>
        <v>✓</v>
      </c>
      <c r="AI42" s="46" t="str">
        <f>IF(Data!AP33="x","✓","")</f>
        <v/>
      </c>
      <c r="AJ42" s="46" t="str">
        <f>IF(Data!AP34="x","✓","")</f>
        <v/>
      </c>
      <c r="AK42" s="44" t="str">
        <f>IF(Data!AP35="x","✓","")</f>
        <v>✓</v>
      </c>
      <c r="AL42" s="46" t="str">
        <f>IF(Data!AP36="x","✓","")</f>
        <v/>
      </c>
      <c r="AM42" s="46" t="str">
        <f>IF(Data!AP37="x","✓","")</f>
        <v/>
      </c>
      <c r="AN42" s="46" t="str">
        <f>IF(Data!AP38="x","✓","")</f>
        <v/>
      </c>
      <c r="AO42" s="46" t="str">
        <f>IF(Data!AP39="x","✓","")</f>
        <v/>
      </c>
      <c r="AP42" s="46" t="str">
        <f>IF(Data!AP40="x","✓","")</f>
        <v/>
      </c>
      <c r="AQ42" s="46" t="str">
        <f>IF(Data!AP41="x","✓","")</f>
        <v/>
      </c>
      <c r="AR42" s="46" t="str">
        <f>IF(Data!AP42="x","✓","")</f>
        <v>✓</v>
      </c>
      <c r="AS42" s="46" t="str">
        <f>IF(Data!AP43="x","✓","")</f>
        <v/>
      </c>
      <c r="AT42" s="46" t="str">
        <f>IF(Data!AP44="x","✓","")</f>
        <v/>
      </c>
      <c r="AU42" s="46" t="str">
        <f>IF(Data!AP45="x","✓","")</f>
        <v/>
      </c>
      <c r="AV42" s="46" t="str">
        <f>IF(Data!AP46="x","✓","")</f>
        <v/>
      </c>
      <c r="AW42" s="46" t="str">
        <f>IF(Data!AP47="x","✓","")</f>
        <v/>
      </c>
      <c r="AX42" s="46" t="str">
        <f>IF(Data!AP48="x","✓","")</f>
        <v/>
      </c>
      <c r="AY42" s="46" t="str">
        <f>IF(Data!AP49="x","✓","")</f>
        <v/>
      </c>
      <c r="AZ42" s="46" t="str">
        <f>IF(Data!AP50="x","✓","")</f>
        <v/>
      </c>
      <c r="BA42" s="46" t="str">
        <f>IF(Data!AP51="x","✓","")</f>
        <v/>
      </c>
      <c r="BB42" s="46" t="str">
        <f>IF(Data!AP52="x","✓","")</f>
        <v/>
      </c>
      <c r="BC42" s="46" t="str">
        <f>IF(Data!AP53="x","✓","")</f>
        <v/>
      </c>
      <c r="BD42" s="46" t="str">
        <f>IF(Data!AP54="x","✓","")</f>
        <v/>
      </c>
      <c r="BE42" s="46" t="str">
        <f>IF(Data!AP55="x","✓","")</f>
        <v/>
      </c>
      <c r="BF42" s="46" t="str">
        <f>IF(Data!AP56="x","✓","")</f>
        <v/>
      </c>
      <c r="BG42" s="46" t="str">
        <f>IF(Data!AP57="x","✓","")</f>
        <v/>
      </c>
      <c r="BH42" s="46" t="str">
        <f>IF(Data!AP58="x","✓","")</f>
        <v/>
      </c>
      <c r="BI42" s="46" t="str">
        <f>IF(Data!AP59="x","✓","")</f>
        <v/>
      </c>
      <c r="BJ42" s="46" t="str">
        <f>IF(Data!AP60="x","✓","")</f>
        <v/>
      </c>
      <c r="BK42" s="46" t="str">
        <f>IF(Data!AP61="x","✓","")</f>
        <v/>
      </c>
    </row>
    <row r="43" spans="2:63" ht="15.75" customHeight="1">
      <c r="B43" s="41" t="s">
        <v>41</v>
      </c>
      <c r="C43" s="42">
        <f>COUNTIF(Data!AQ2:AQ61,"x")</f>
        <v>5</v>
      </c>
      <c r="D43" s="43" t="str">
        <f>IF(Data!AQ2="x","✓","")</f>
        <v/>
      </c>
      <c r="E43" s="43" t="str">
        <f>IF(Data!AQ3="x","✓","")</f>
        <v/>
      </c>
      <c r="F43" s="43" t="str">
        <f>IF(Data!AQ4="x","✓","")</f>
        <v/>
      </c>
      <c r="G43" s="43" t="str">
        <f>IF(Data!AQ5="x","✓","")</f>
        <v/>
      </c>
      <c r="H43" s="43" t="str">
        <f>IF(Data!AQ6="x","✓","")</f>
        <v/>
      </c>
      <c r="I43" s="43" t="str">
        <f>IF(Data!AQ7="x","✓","")</f>
        <v/>
      </c>
      <c r="J43" s="43" t="str">
        <f>IF(Data!AQ8="x","✓","")</f>
        <v/>
      </c>
      <c r="K43" s="43" t="str">
        <f>IF(Data!AQ9="x","✓","")</f>
        <v/>
      </c>
      <c r="L43" s="43" t="str">
        <f>IF(Data!AQ10="x","✓","")</f>
        <v/>
      </c>
      <c r="M43" s="43" t="str">
        <f>IF(Data!AQ11="x","✓","")</f>
        <v/>
      </c>
      <c r="N43" s="43" t="str">
        <f>IF(Data!AQ12="x","✓","")</f>
        <v/>
      </c>
      <c r="O43" s="43" t="str">
        <f>IF(Data!AQ13="x","✓","")</f>
        <v/>
      </c>
      <c r="P43" s="43" t="str">
        <f>IF(Data!AQ14="x","✓","")</f>
        <v/>
      </c>
      <c r="Q43" s="44" t="str">
        <f>IF(Data!AQ15="x","✓","")</f>
        <v>✓</v>
      </c>
      <c r="R43" s="43" t="str">
        <f>IF(Data!AQ16="x","✓","")</f>
        <v/>
      </c>
      <c r="S43" s="43" t="str">
        <f>IF(Data!AQ17="x","✓","")</f>
        <v/>
      </c>
      <c r="T43" s="43" t="str">
        <f>IF(Data!AQ18="x","✓","")</f>
        <v/>
      </c>
      <c r="U43" s="43" t="str">
        <f>IF(Data!AQ19="x","✓","")</f>
        <v/>
      </c>
      <c r="V43" s="43" t="str">
        <f>IF(Data!AQ20="x","✓","")</f>
        <v/>
      </c>
      <c r="W43" s="43" t="str">
        <f>IF(Data!AQ21="x","✓","")</f>
        <v/>
      </c>
      <c r="X43" s="43" t="str">
        <f>IF(Data!AQ22="x","✓","")</f>
        <v/>
      </c>
      <c r="Y43" s="43" t="str">
        <f>IF(Data!AQ23="x","✓","")</f>
        <v/>
      </c>
      <c r="Z43" s="43" t="str">
        <f>IF(Data!AQ24="x","✓","")</f>
        <v/>
      </c>
      <c r="AA43" s="43" t="str">
        <f>IF(Data!AQ25="x","✓","")</f>
        <v/>
      </c>
      <c r="AB43" s="43" t="str">
        <f>IF(Data!AQ26="x","✓","")</f>
        <v/>
      </c>
      <c r="AC43" s="44" t="str">
        <f>IF(Data!AQ27="x","✓","")</f>
        <v>✓</v>
      </c>
      <c r="AD43" s="43" t="str">
        <f>IF(Data!AQ28="x","✓","")</f>
        <v/>
      </c>
      <c r="AE43" s="43" t="str">
        <f>IF(Data!AQ29="x","✓","")</f>
        <v/>
      </c>
      <c r="AF43" s="43" t="str">
        <f>IF(Data!AQ30="x","✓","")</f>
        <v/>
      </c>
      <c r="AG43" s="43" t="str">
        <f>IF(Data!AQ31="x","✓","")</f>
        <v/>
      </c>
      <c r="AH43" s="43" t="str">
        <f>IF(Data!AQ32="x","✓","")</f>
        <v/>
      </c>
      <c r="AI43" s="43" t="str">
        <f>IF(Data!AQ33="x","✓","")</f>
        <v/>
      </c>
      <c r="AJ43" s="43" t="str">
        <f>IF(Data!AQ34="x","✓","")</f>
        <v/>
      </c>
      <c r="AK43" s="43" t="str">
        <f>IF(Data!AQ35="x","✓","")</f>
        <v/>
      </c>
      <c r="AL43" s="43" t="str">
        <f>IF(Data!AQ36="x","✓","")</f>
        <v/>
      </c>
      <c r="AM43" s="44" t="str">
        <f>IF(Data!AQ37="x","✓","")</f>
        <v>✓</v>
      </c>
      <c r="AN43" s="43" t="str">
        <f>IF(Data!AQ38="x","✓","")</f>
        <v/>
      </c>
      <c r="AO43" s="43" t="str">
        <f>IF(Data!AQ39="x","✓","")</f>
        <v/>
      </c>
      <c r="AP43" s="43" t="str">
        <f>IF(Data!AQ40="x","✓","")</f>
        <v/>
      </c>
      <c r="AQ43" s="44" t="str">
        <f>IF(Data!AQ41="x","✓","")</f>
        <v>✓</v>
      </c>
      <c r="AR43" s="43" t="str">
        <f>IF(Data!AQ42="x","✓","")</f>
        <v>✓</v>
      </c>
      <c r="AS43" s="43" t="str">
        <f>IF(Data!AQ43="x","✓","")</f>
        <v/>
      </c>
      <c r="AT43" s="43" t="str">
        <f>IF(Data!AQ44="x","✓","")</f>
        <v/>
      </c>
      <c r="AU43" s="43" t="str">
        <f>IF(Data!AQ45="x","✓","")</f>
        <v/>
      </c>
      <c r="AV43" s="43" t="str">
        <f>IF(Data!AQ46="x","✓","")</f>
        <v/>
      </c>
      <c r="AW43" s="43" t="str">
        <f>IF(Data!AQ47="x","✓","")</f>
        <v/>
      </c>
      <c r="AX43" s="43" t="str">
        <f>IF(Data!AQ48="x","✓","")</f>
        <v/>
      </c>
      <c r="AY43" s="43" t="str">
        <f>IF(Data!AQ49="x","✓","")</f>
        <v/>
      </c>
      <c r="AZ43" s="43" t="str">
        <f>IF(Data!AQ50="x","✓","")</f>
        <v/>
      </c>
      <c r="BA43" s="43" t="str">
        <f>IF(Data!AQ51="x","✓","")</f>
        <v/>
      </c>
      <c r="BB43" s="43" t="str">
        <f>IF(Data!AQ52="x","✓","")</f>
        <v/>
      </c>
      <c r="BC43" s="43" t="str">
        <f>IF(Data!AQ53="x","✓","")</f>
        <v/>
      </c>
      <c r="BD43" s="43" t="str">
        <f>IF(Data!AQ54="x","✓","")</f>
        <v/>
      </c>
      <c r="BE43" s="43" t="str">
        <f>IF(Data!AQ55="x","✓","")</f>
        <v/>
      </c>
      <c r="BF43" s="43" t="str">
        <f>IF(Data!AQ56="x","✓","")</f>
        <v/>
      </c>
      <c r="BG43" s="43" t="str">
        <f>IF(Data!AQ57="x","✓","")</f>
        <v/>
      </c>
      <c r="BH43" s="43" t="str">
        <f>IF(Data!AQ58="x","✓","")</f>
        <v/>
      </c>
      <c r="BI43" s="43" t="str">
        <f>IF(Data!AQ59="x","✓","")</f>
        <v/>
      </c>
      <c r="BJ43" s="43" t="str">
        <f>IF(Data!AQ60="x","✓","")</f>
        <v/>
      </c>
      <c r="BK43" s="43" t="str">
        <f>IF(Data!AQ61="x","✓","")</f>
        <v/>
      </c>
    </row>
    <row r="44" spans="2:63" ht="15.75" customHeight="1">
      <c r="B44" s="45" t="s">
        <v>42</v>
      </c>
      <c r="C44" s="42">
        <f>COUNTIF(Data!AR2:AR61,"x")</f>
        <v>5</v>
      </c>
      <c r="D44" s="46" t="str">
        <f>IF(Data!AR2="x","✓","")</f>
        <v/>
      </c>
      <c r="E44" s="46" t="str">
        <f>IF(Data!AR3="x","✓","")</f>
        <v/>
      </c>
      <c r="F44" s="46" t="str">
        <f>IF(Data!AR4="x","✓","")</f>
        <v/>
      </c>
      <c r="G44" s="46" t="str">
        <f>IF(Data!AR5="x","✓","")</f>
        <v/>
      </c>
      <c r="H44" s="46" t="str">
        <f>IF(Data!AR6="x","✓","")</f>
        <v/>
      </c>
      <c r="I44" s="46" t="str">
        <f>IF(Data!AR7="x","✓","")</f>
        <v/>
      </c>
      <c r="J44" s="46" t="str">
        <f>IF(Data!AR8="x","✓","")</f>
        <v/>
      </c>
      <c r="K44" s="46" t="str">
        <f>IF(Data!AR9="x","✓","")</f>
        <v/>
      </c>
      <c r="L44" s="46" t="str">
        <f>IF(Data!AR10="x","✓","")</f>
        <v/>
      </c>
      <c r="M44" s="46" t="str">
        <f>IF(Data!AR11="x","✓","")</f>
        <v/>
      </c>
      <c r="N44" s="46" t="str">
        <f>IF(Data!AR12="x","✓","")</f>
        <v/>
      </c>
      <c r="O44" s="46" t="str">
        <f>IF(Data!AR13="x","✓","")</f>
        <v/>
      </c>
      <c r="P44" s="46" t="str">
        <f>IF(Data!AR14="x","✓","")</f>
        <v/>
      </c>
      <c r="Q44" s="44" t="str">
        <f>IF(Data!AR15="x","✓","")</f>
        <v>✓</v>
      </c>
      <c r="R44" s="46" t="str">
        <f>IF(Data!AR16="x","✓","")</f>
        <v/>
      </c>
      <c r="S44" s="46" t="str">
        <f>IF(Data!AR17="x","✓","")</f>
        <v/>
      </c>
      <c r="T44" s="46" t="str">
        <f>IF(Data!AR18="x","✓","")</f>
        <v/>
      </c>
      <c r="U44" s="46" t="str">
        <f>IF(Data!AR19="x","✓","")</f>
        <v/>
      </c>
      <c r="V44" s="46" t="str">
        <f>IF(Data!AR20="x","✓","")</f>
        <v/>
      </c>
      <c r="W44" s="46" t="str">
        <f>IF(Data!AR21="x","✓","")</f>
        <v/>
      </c>
      <c r="X44" s="46" t="str">
        <f>IF(Data!AR22="x","✓","")</f>
        <v/>
      </c>
      <c r="Y44" s="46" t="str">
        <f>IF(Data!AR23="x","✓","")</f>
        <v/>
      </c>
      <c r="Z44" s="46" t="str">
        <f>IF(Data!AR24="x","✓","")</f>
        <v/>
      </c>
      <c r="AA44" s="46" t="str">
        <f>IF(Data!AR25="x","✓","")</f>
        <v/>
      </c>
      <c r="AB44" s="46" t="str">
        <f>IF(Data!AR26="x","✓","")</f>
        <v/>
      </c>
      <c r="AC44" s="46" t="str">
        <f>IF(Data!AR27="x","✓","")</f>
        <v/>
      </c>
      <c r="AD44" s="46" t="str">
        <f>IF(Data!AR28="x","✓","")</f>
        <v/>
      </c>
      <c r="AE44" s="46" t="str">
        <f>IF(Data!AR29="x","✓","")</f>
        <v/>
      </c>
      <c r="AF44" s="47" t="str">
        <f>IF(Data!AR30="x","✓","")</f>
        <v>✓</v>
      </c>
      <c r="AG44" s="46" t="str">
        <f>IF(Data!AR31="x","✓","")</f>
        <v/>
      </c>
      <c r="AH44" s="47" t="str">
        <f>IF(Data!AR32="x","✓","")</f>
        <v>✓</v>
      </c>
      <c r="AI44" s="46" t="str">
        <f>IF(Data!AR33="x","✓","")</f>
        <v/>
      </c>
      <c r="AJ44" s="46" t="str">
        <f>IF(Data!AR34="x","✓","")</f>
        <v/>
      </c>
      <c r="AK44" s="44" t="str">
        <f>IF(Data!AR35="x","✓","")</f>
        <v>✓</v>
      </c>
      <c r="AL44" s="46" t="str">
        <f>IF(Data!AR36="x","✓","")</f>
        <v/>
      </c>
      <c r="AM44" s="46" t="str">
        <f>IF(Data!AR37="x","✓","")</f>
        <v/>
      </c>
      <c r="AN44" s="46" t="str">
        <f>IF(Data!AR38="x","✓","")</f>
        <v/>
      </c>
      <c r="AO44" s="46" t="str">
        <f>IF(Data!AR39="x","✓","")</f>
        <v/>
      </c>
      <c r="AP44" s="46" t="str">
        <f>IF(Data!AR40="x","✓","")</f>
        <v/>
      </c>
      <c r="AQ44" s="46" t="str">
        <f>IF(Data!AR41="x","✓","")</f>
        <v/>
      </c>
      <c r="AR44" s="46" t="str">
        <f>IF(Data!AR42="x","✓","")</f>
        <v>✓</v>
      </c>
      <c r="AS44" s="46" t="str">
        <f>IF(Data!AR43="x","✓","")</f>
        <v/>
      </c>
      <c r="AT44" s="46" t="str">
        <f>IF(Data!AR44="x","✓","")</f>
        <v/>
      </c>
      <c r="AU44" s="46" t="str">
        <f>IF(Data!AR45="x","✓","")</f>
        <v/>
      </c>
      <c r="AV44" s="46" t="str">
        <f>IF(Data!AR46="x","✓","")</f>
        <v/>
      </c>
      <c r="AW44" s="46" t="str">
        <f>IF(Data!AR47="x","✓","")</f>
        <v/>
      </c>
      <c r="AX44" s="46" t="str">
        <f>IF(Data!AR48="x","✓","")</f>
        <v/>
      </c>
      <c r="AY44" s="46" t="str">
        <f>IF(Data!AR49="x","✓","")</f>
        <v/>
      </c>
      <c r="AZ44" s="46" t="str">
        <f>IF(Data!AR50="x","✓","")</f>
        <v/>
      </c>
      <c r="BA44" s="46" t="str">
        <f>IF(Data!AR51="x","✓","")</f>
        <v/>
      </c>
      <c r="BB44" s="46" t="str">
        <f>IF(Data!AR52="x","✓","")</f>
        <v/>
      </c>
      <c r="BC44" s="46" t="str">
        <f>IF(Data!AR53="x","✓","")</f>
        <v/>
      </c>
      <c r="BD44" s="46" t="str">
        <f>IF(Data!AR54="x","✓","")</f>
        <v/>
      </c>
      <c r="BE44" s="46" t="str">
        <f>IF(Data!AR55="x","✓","")</f>
        <v/>
      </c>
      <c r="BF44" s="46" t="str">
        <f>IF(Data!AR56="x","✓","")</f>
        <v/>
      </c>
      <c r="BG44" s="46" t="str">
        <f>IF(Data!AR57="x","✓","")</f>
        <v/>
      </c>
      <c r="BH44" s="46" t="str">
        <f>IF(Data!AR58="x","✓","")</f>
        <v/>
      </c>
      <c r="BI44" s="46" t="str">
        <f>IF(Data!AR59="x","✓","")</f>
        <v/>
      </c>
      <c r="BJ44" s="46" t="str">
        <f>IF(Data!AR60="x","✓","")</f>
        <v/>
      </c>
      <c r="BK44" s="46" t="str">
        <f>IF(Data!AR61="x","✓","")</f>
        <v/>
      </c>
    </row>
    <row r="45" spans="2:63" ht="15.75" customHeight="1">
      <c r="B45" s="41" t="s">
        <v>43</v>
      </c>
      <c r="C45" s="50">
        <f>COUNTIF(Data!AS2:AS61,"x")</f>
        <v>20</v>
      </c>
      <c r="D45" s="47" t="str">
        <f>IF(Data!AS2="x","✓","")</f>
        <v>✓</v>
      </c>
      <c r="E45" s="44" t="str">
        <f>IF(Data!AS3="x","✓","")</f>
        <v>✓</v>
      </c>
      <c r="F45" s="47" t="str">
        <f>IF(Data!AS4="x","✓","")</f>
        <v>✓</v>
      </c>
      <c r="G45" s="44" t="str">
        <f>IF(Data!AS5="x","✓","")</f>
        <v>✓</v>
      </c>
      <c r="H45" s="47" t="str">
        <f>IF(Data!AS6="x","✓","")</f>
        <v>✓</v>
      </c>
      <c r="I45" s="43" t="str">
        <f>IF(Data!AS7="x","✓","")</f>
        <v/>
      </c>
      <c r="J45" s="43" t="str">
        <f>IF(Data!AS8="x","✓","")</f>
        <v/>
      </c>
      <c r="K45" s="44" t="str">
        <f>IF(Data!AS9="x","✓","")</f>
        <v>✓</v>
      </c>
      <c r="L45" s="47" t="str">
        <f>IF(Data!AS10="x","✓","")</f>
        <v>✓</v>
      </c>
      <c r="M45" s="43" t="str">
        <f>IF(Data!AS11="x","✓","")</f>
        <v/>
      </c>
      <c r="N45" s="47" t="str">
        <f>IF(Data!AS12="x","✓","")</f>
        <v>✓</v>
      </c>
      <c r="O45" s="44" t="str">
        <f>IF(Data!AS13="x","✓","")</f>
        <v>✓</v>
      </c>
      <c r="P45" s="43" t="str">
        <f>IF(Data!AS14="x","✓","")</f>
        <v/>
      </c>
      <c r="Q45" s="43" t="str">
        <f>IF(Data!AS15="x","✓","")</f>
        <v/>
      </c>
      <c r="R45" s="47" t="str">
        <f>IF(Data!AS16="x","✓","")</f>
        <v>✓</v>
      </c>
      <c r="S45" s="43" t="str">
        <f>IF(Data!AS17="x","✓","")</f>
        <v/>
      </c>
      <c r="T45" s="43" t="str">
        <f>IF(Data!AS18="x","✓","")</f>
        <v/>
      </c>
      <c r="U45" s="43" t="str">
        <f>IF(Data!AS19="x","✓","")</f>
        <v/>
      </c>
      <c r="V45" s="43" t="str">
        <f>IF(Data!AS20="x","✓","")</f>
        <v/>
      </c>
      <c r="W45" s="44" t="str">
        <f>IF(Data!AS21="x","✓","")</f>
        <v>✓</v>
      </c>
      <c r="X45" s="43" t="str">
        <f>IF(Data!AS22="x","✓","")</f>
        <v/>
      </c>
      <c r="Y45" s="44" t="str">
        <f>IF(Data!AS23="x","✓","")</f>
        <v>✓</v>
      </c>
      <c r="Z45" s="47" t="str">
        <f>IF(Data!AS24="x","✓","")</f>
        <v>✓</v>
      </c>
      <c r="AA45" s="44" t="str">
        <f>IF(Data!AS25="x","✓","")</f>
        <v>✓</v>
      </c>
      <c r="AB45" s="47" t="str">
        <f>IF(Data!AS26="x","✓","")</f>
        <v>✓</v>
      </c>
      <c r="AC45" s="43" t="str">
        <f>IF(Data!AS27="x","✓","")</f>
        <v/>
      </c>
      <c r="AD45" s="47" t="str">
        <f>IF(Data!AS28="x","✓","")</f>
        <v>✓</v>
      </c>
      <c r="AE45" s="43" t="str">
        <f>IF(Data!AS29="x","✓","")</f>
        <v/>
      </c>
      <c r="AF45" s="43" t="str">
        <f>IF(Data!AS30="x","✓","")</f>
        <v/>
      </c>
      <c r="AG45" s="44" t="str">
        <f>IF(Data!AS31="x","✓","")</f>
        <v>✓</v>
      </c>
      <c r="AH45" s="43" t="str">
        <f>IF(Data!AS32="x","✓","")</f>
        <v/>
      </c>
      <c r="AI45" s="43" t="str">
        <f>IF(Data!AS33="x","✓","")</f>
        <v/>
      </c>
      <c r="AJ45" s="43" t="str">
        <f>IF(Data!AS34="x","✓","")</f>
        <v/>
      </c>
      <c r="AK45" s="44" t="str">
        <f>IF(Data!AS35="x","✓","")</f>
        <v>✓</v>
      </c>
      <c r="AL45" s="43" t="str">
        <f>IF(Data!AS36="x","✓","")</f>
        <v/>
      </c>
      <c r="AM45" s="43" t="str">
        <f>IF(Data!AS37="x","✓","")</f>
        <v/>
      </c>
      <c r="AN45" s="43" t="str">
        <f>IF(Data!AS38="x","✓","")</f>
        <v/>
      </c>
      <c r="AO45" s="43" t="str">
        <f>IF(Data!AS39="x","✓","")</f>
        <v/>
      </c>
      <c r="AP45" s="47" t="str">
        <f>IF(Data!AS40="x","✓","")</f>
        <v>✓</v>
      </c>
      <c r="AQ45" s="43" t="str">
        <f>IF(Data!AS41="x","✓","")</f>
        <v/>
      </c>
      <c r="AR45" s="43" t="str">
        <f>IF(Data!AS42="x","✓","")</f>
        <v>✓</v>
      </c>
      <c r="AS45" s="43" t="str">
        <f>IF(Data!AS43="x","✓","")</f>
        <v/>
      </c>
      <c r="AT45" s="43" t="str">
        <f>IF(Data!AS44="x","✓","")</f>
        <v/>
      </c>
      <c r="AU45" s="43" t="str">
        <f>IF(Data!AS45="x","✓","")</f>
        <v/>
      </c>
      <c r="AV45" s="43" t="str">
        <f>IF(Data!AS46="x","✓","")</f>
        <v/>
      </c>
      <c r="AW45" s="43" t="str">
        <f>IF(Data!AS47="x","✓","")</f>
        <v/>
      </c>
      <c r="AX45" s="43" t="str">
        <f>IF(Data!AS48="x","✓","")</f>
        <v/>
      </c>
      <c r="AY45" s="43" t="str">
        <f>IF(Data!AS49="x","✓","")</f>
        <v/>
      </c>
      <c r="AZ45" s="43" t="str">
        <f>IF(Data!AS50="x","✓","")</f>
        <v/>
      </c>
      <c r="BA45" s="43" t="str">
        <f>IF(Data!AS51="x","✓","")</f>
        <v/>
      </c>
      <c r="BB45" s="43" t="str">
        <f>IF(Data!AS52="x","✓","")</f>
        <v/>
      </c>
      <c r="BC45" s="43" t="str">
        <f>IF(Data!AS53="x","✓","")</f>
        <v/>
      </c>
      <c r="BD45" s="43" t="str">
        <f>IF(Data!AS54="x","✓","")</f>
        <v/>
      </c>
      <c r="BE45" s="43" t="str">
        <f>IF(Data!AS55="x","✓","")</f>
        <v/>
      </c>
      <c r="BF45" s="43" t="str">
        <f>IF(Data!AS56="x","✓","")</f>
        <v/>
      </c>
      <c r="BG45" s="43" t="str">
        <f>IF(Data!AS57="x","✓","")</f>
        <v/>
      </c>
      <c r="BH45" s="43" t="str">
        <f>IF(Data!AS58="x","✓","")</f>
        <v/>
      </c>
      <c r="BI45" s="43" t="str">
        <f>IF(Data!AS59="x","✓","")</f>
        <v/>
      </c>
      <c r="BJ45" s="43" t="str">
        <f>IF(Data!AS60="x","✓","")</f>
        <v/>
      </c>
      <c r="BK45" s="43" t="str">
        <f>IF(Data!AS61="x","✓","")</f>
        <v/>
      </c>
    </row>
    <row r="46" spans="2:63" ht="15.75" customHeight="1">
      <c r="B46" s="45" t="s">
        <v>44</v>
      </c>
      <c r="C46" s="42">
        <f>COUNTIF(Data!AT2:AT61,"x")</f>
        <v>5</v>
      </c>
      <c r="D46" s="46" t="str">
        <f>IF(Data!AT2="x","✓","")</f>
        <v/>
      </c>
      <c r="E46" s="46" t="str">
        <f>IF(Data!AT3="x","✓","")</f>
        <v/>
      </c>
      <c r="F46" s="46" t="str">
        <f>IF(Data!AT4="x","✓","")</f>
        <v/>
      </c>
      <c r="G46" s="46" t="str">
        <f>IF(Data!AT5="x","✓","")</f>
        <v/>
      </c>
      <c r="H46" s="46" t="str">
        <f>IF(Data!AT6="x","✓","")</f>
        <v/>
      </c>
      <c r="I46" s="46" t="str">
        <f>IF(Data!AT7="x","✓","")</f>
        <v/>
      </c>
      <c r="J46" s="46" t="str">
        <f>IF(Data!AT8="x","✓","")</f>
        <v/>
      </c>
      <c r="K46" s="46" t="str">
        <f>IF(Data!AT9="x","✓","")</f>
        <v/>
      </c>
      <c r="L46" s="46" t="str">
        <f>IF(Data!AT10="x","✓","")</f>
        <v/>
      </c>
      <c r="M46" s="46" t="str">
        <f>IF(Data!AT11="x","✓","")</f>
        <v/>
      </c>
      <c r="N46" s="46" t="str">
        <f>IF(Data!AT12="x","✓","")</f>
        <v/>
      </c>
      <c r="O46" s="46" t="str">
        <f>IF(Data!AT13="x","✓","")</f>
        <v/>
      </c>
      <c r="P46" s="46" t="str">
        <f>IF(Data!AT14="x","✓","")</f>
        <v/>
      </c>
      <c r="Q46" s="46" t="str">
        <f>IF(Data!AT15="x","✓","")</f>
        <v/>
      </c>
      <c r="R46" s="46" t="str">
        <f>IF(Data!AT16="x","✓","")</f>
        <v/>
      </c>
      <c r="S46" s="46" t="str">
        <f>IF(Data!AT17="x","✓","")</f>
        <v/>
      </c>
      <c r="T46" s="46" t="str">
        <f>IF(Data!AT18="x","✓","")</f>
        <v/>
      </c>
      <c r="U46" s="46" t="str">
        <f>IF(Data!AT19="x","✓","")</f>
        <v/>
      </c>
      <c r="V46" s="46" t="str">
        <f>IF(Data!AT20="x","✓","")</f>
        <v/>
      </c>
      <c r="W46" s="46" t="str">
        <f>IF(Data!AT21="x","✓","")</f>
        <v/>
      </c>
      <c r="X46" s="46" t="str">
        <f>IF(Data!AT22="x","✓","")</f>
        <v/>
      </c>
      <c r="Y46" s="46" t="str">
        <f>IF(Data!AT23="x","✓","")</f>
        <v/>
      </c>
      <c r="Z46" s="46" t="str">
        <f>IF(Data!AT24="x","✓","")</f>
        <v/>
      </c>
      <c r="AA46" s="46" t="str">
        <f>IF(Data!AT25="x","✓","")</f>
        <v/>
      </c>
      <c r="AB46" s="46" t="str">
        <f>IF(Data!AT26="x","✓","")</f>
        <v/>
      </c>
      <c r="AC46" s="44" t="str">
        <f>IF(Data!AT27="x","✓","")</f>
        <v>✓</v>
      </c>
      <c r="AD46" s="46" t="str">
        <f>IF(Data!AT28="x","✓","")</f>
        <v/>
      </c>
      <c r="AE46" s="46" t="str">
        <f>IF(Data!AT29="x","✓","")</f>
        <v/>
      </c>
      <c r="AF46" s="46" t="str">
        <f>IF(Data!AT30="x","✓","")</f>
        <v/>
      </c>
      <c r="AG46" s="46" t="str">
        <f>IF(Data!AT31="x","✓","")</f>
        <v/>
      </c>
      <c r="AH46" s="46" t="str">
        <f>IF(Data!AT32="x","✓","")</f>
        <v/>
      </c>
      <c r="AI46" s="44" t="str">
        <f>IF(Data!AT33="x","✓","")</f>
        <v>✓</v>
      </c>
      <c r="AJ46" s="46" t="str">
        <f>IF(Data!AT34="x","✓","")</f>
        <v/>
      </c>
      <c r="AK46" s="46" t="str">
        <f>IF(Data!AT35="x","✓","")</f>
        <v/>
      </c>
      <c r="AL46" s="47" t="str">
        <f>IF(Data!AT36="x","✓","")</f>
        <v>✓</v>
      </c>
      <c r="AM46" s="46" t="str">
        <f>IF(Data!AT37="x","✓","")</f>
        <v/>
      </c>
      <c r="AN46" s="46" t="str">
        <f>IF(Data!AT38="x","✓","")</f>
        <v/>
      </c>
      <c r="AO46" s="46" t="str">
        <f>IF(Data!AT39="x","✓","")</f>
        <v/>
      </c>
      <c r="AP46" s="46" t="str">
        <f>IF(Data!AT40="x","✓","")</f>
        <v/>
      </c>
      <c r="AQ46" s="44" t="str">
        <f>IF(Data!AT41="x","✓","")</f>
        <v>✓</v>
      </c>
      <c r="AR46" s="46" t="str">
        <f>IF(Data!AT42="x","✓","")</f>
        <v>✓</v>
      </c>
      <c r="AS46" s="46" t="str">
        <f>IF(Data!AT43="x","✓","")</f>
        <v/>
      </c>
      <c r="AT46" s="46" t="str">
        <f>IF(Data!AT44="x","✓","")</f>
        <v/>
      </c>
      <c r="AU46" s="46" t="str">
        <f>IF(Data!AT45="x","✓","")</f>
        <v/>
      </c>
      <c r="AV46" s="46" t="str">
        <f>IF(Data!AT46="x","✓","")</f>
        <v/>
      </c>
      <c r="AW46" s="46" t="str">
        <f>IF(Data!AT47="x","✓","")</f>
        <v/>
      </c>
      <c r="AX46" s="46" t="str">
        <f>IF(Data!AT48="x","✓","")</f>
        <v/>
      </c>
      <c r="AY46" s="46" t="str">
        <f>IF(Data!AT49="x","✓","")</f>
        <v/>
      </c>
      <c r="AZ46" s="46" t="str">
        <f>IF(Data!AT50="x","✓","")</f>
        <v/>
      </c>
      <c r="BA46" s="46" t="str">
        <f>IF(Data!AT51="x","✓","")</f>
        <v/>
      </c>
      <c r="BB46" s="46" t="str">
        <f>IF(Data!AT52="x","✓","")</f>
        <v/>
      </c>
      <c r="BC46" s="46" t="str">
        <f>IF(Data!AT53="x","✓","")</f>
        <v/>
      </c>
      <c r="BD46" s="46" t="str">
        <f>IF(Data!AT54="x","✓","")</f>
        <v/>
      </c>
      <c r="BE46" s="46" t="str">
        <f>IF(Data!AT55="x","✓","")</f>
        <v/>
      </c>
      <c r="BF46" s="46" t="str">
        <f>IF(Data!AT56="x","✓","")</f>
        <v/>
      </c>
      <c r="BG46" s="46" t="str">
        <f>IF(Data!AT57="x","✓","")</f>
        <v/>
      </c>
      <c r="BH46" s="46" t="str">
        <f>IF(Data!AT58="x","✓","")</f>
        <v/>
      </c>
      <c r="BI46" s="46" t="str">
        <f>IF(Data!AT59="x","✓","")</f>
        <v/>
      </c>
      <c r="BJ46" s="46" t="str">
        <f>IF(Data!AT60="x","✓","")</f>
        <v/>
      </c>
      <c r="BK46" s="46" t="str">
        <f>IF(Data!AT61="x","✓","")</f>
        <v/>
      </c>
    </row>
    <row r="47" spans="2:63" ht="15.75" customHeight="1">
      <c r="B47" s="41" t="s">
        <v>45</v>
      </c>
      <c r="C47" s="42">
        <f>COUNTIF(Data!AU2:AU61,"x")</f>
        <v>5</v>
      </c>
      <c r="D47" s="43" t="str">
        <f>IF(Data!AU2="x","✓","")</f>
        <v/>
      </c>
      <c r="E47" s="43" t="str">
        <f>IF(Data!AU3="x","✓","")</f>
        <v/>
      </c>
      <c r="F47" s="43" t="str">
        <f>IF(Data!AU4="x","✓","")</f>
        <v/>
      </c>
      <c r="G47" s="43" t="str">
        <f>IF(Data!AU5="x","✓","")</f>
        <v/>
      </c>
      <c r="H47" s="43" t="str">
        <f>IF(Data!AU6="x","✓","")</f>
        <v/>
      </c>
      <c r="I47" s="43" t="str">
        <f>IF(Data!AU7="x","✓","")</f>
        <v/>
      </c>
      <c r="J47" s="43" t="str">
        <f>IF(Data!AU8="x","✓","")</f>
        <v/>
      </c>
      <c r="K47" s="43" t="str">
        <f>IF(Data!AU9="x","✓","")</f>
        <v/>
      </c>
      <c r="L47" s="43" t="str">
        <f>IF(Data!AU10="x","✓","")</f>
        <v/>
      </c>
      <c r="M47" s="43" t="str">
        <f>IF(Data!AU11="x","✓","")</f>
        <v/>
      </c>
      <c r="N47" s="43" t="str">
        <f>IF(Data!AU12="x","✓","")</f>
        <v/>
      </c>
      <c r="O47" s="43" t="str">
        <f>IF(Data!AU13="x","✓","")</f>
        <v/>
      </c>
      <c r="P47" s="43" t="str">
        <f>IF(Data!AU14="x","✓","")</f>
        <v/>
      </c>
      <c r="Q47" s="44" t="str">
        <f>IF(Data!AU15="x","✓","")</f>
        <v>✓</v>
      </c>
      <c r="R47" s="43" t="str">
        <f>IF(Data!AU16="x","✓","")</f>
        <v/>
      </c>
      <c r="S47" s="43" t="str">
        <f>IF(Data!AU17="x","✓","")</f>
        <v/>
      </c>
      <c r="T47" s="43" t="str">
        <f>IF(Data!AU18="x","✓","")</f>
        <v/>
      </c>
      <c r="U47" s="43" t="str">
        <f>IF(Data!AU19="x","✓","")</f>
        <v/>
      </c>
      <c r="V47" s="43" t="str">
        <f>IF(Data!AU20="x","✓","")</f>
        <v/>
      </c>
      <c r="W47" s="43" t="str">
        <f>IF(Data!AU21="x","✓","")</f>
        <v/>
      </c>
      <c r="X47" s="43" t="str">
        <f>IF(Data!AU22="x","✓","")</f>
        <v/>
      </c>
      <c r="Y47" s="43" t="str">
        <f>IF(Data!AU23="x","✓","")</f>
        <v/>
      </c>
      <c r="Z47" s="43" t="str">
        <f>IF(Data!AU24="x","✓","")</f>
        <v/>
      </c>
      <c r="AA47" s="43" t="str">
        <f>IF(Data!AU25="x","✓","")</f>
        <v/>
      </c>
      <c r="AB47" s="43" t="str">
        <f>IF(Data!AU26="x","✓","")</f>
        <v/>
      </c>
      <c r="AC47" s="43" t="str">
        <f>IF(Data!AU27="x","✓","")</f>
        <v/>
      </c>
      <c r="AD47" s="43" t="str">
        <f>IF(Data!AU28="x","✓","")</f>
        <v/>
      </c>
      <c r="AE47" s="43" t="str">
        <f>IF(Data!AU29="x","✓","")</f>
        <v/>
      </c>
      <c r="AF47" s="47" t="str">
        <f>IF(Data!AU30="x","✓","")</f>
        <v>✓</v>
      </c>
      <c r="AG47" s="43" t="str">
        <f>IF(Data!AU31="x","✓","")</f>
        <v/>
      </c>
      <c r="AH47" s="47" t="str">
        <f>IF(Data!AU32="x","✓","")</f>
        <v>✓</v>
      </c>
      <c r="AI47" s="43" t="str">
        <f>IF(Data!AU33="x","✓","")</f>
        <v/>
      </c>
      <c r="AJ47" s="43" t="str">
        <f>IF(Data!AU34="x","✓","")</f>
        <v/>
      </c>
      <c r="AK47" s="44" t="str">
        <f>IF(Data!AU35="x","✓","")</f>
        <v>✓</v>
      </c>
      <c r="AL47" s="43" t="str">
        <f>IF(Data!AU36="x","✓","")</f>
        <v/>
      </c>
      <c r="AM47" s="43" t="str">
        <f>IF(Data!AU37="x","✓","")</f>
        <v/>
      </c>
      <c r="AN47" s="43" t="str">
        <f>IF(Data!AU38="x","✓","")</f>
        <v/>
      </c>
      <c r="AO47" s="43" t="str">
        <f>IF(Data!AU39="x","✓","")</f>
        <v/>
      </c>
      <c r="AP47" s="43" t="str">
        <f>IF(Data!AU40="x","✓","")</f>
        <v/>
      </c>
      <c r="AQ47" s="43" t="str">
        <f>IF(Data!AU41="x","✓","")</f>
        <v/>
      </c>
      <c r="AR47" s="43" t="str">
        <f>IF(Data!AU42="x","✓","")</f>
        <v>✓</v>
      </c>
      <c r="AS47" s="43" t="str">
        <f>IF(Data!AU43="x","✓","")</f>
        <v/>
      </c>
      <c r="AT47" s="43" t="str">
        <f>IF(Data!AU44="x","✓","")</f>
        <v/>
      </c>
      <c r="AU47" s="43" t="str">
        <f>IF(Data!AU45="x","✓","")</f>
        <v/>
      </c>
      <c r="AV47" s="43" t="str">
        <f>IF(Data!AU46="x","✓","")</f>
        <v/>
      </c>
      <c r="AW47" s="43" t="str">
        <f>IF(Data!AU47="x","✓","")</f>
        <v/>
      </c>
      <c r="AX47" s="43" t="str">
        <f>IF(Data!AU48="x","✓","")</f>
        <v/>
      </c>
      <c r="AY47" s="43" t="str">
        <f>IF(Data!AU49="x","✓","")</f>
        <v/>
      </c>
      <c r="AZ47" s="43" t="str">
        <f>IF(Data!AU50="x","✓","")</f>
        <v/>
      </c>
      <c r="BA47" s="43" t="str">
        <f>IF(Data!AU51="x","✓","")</f>
        <v/>
      </c>
      <c r="BB47" s="43" t="str">
        <f>IF(Data!AU52="x","✓","")</f>
        <v/>
      </c>
      <c r="BC47" s="43" t="str">
        <f>IF(Data!AU53="x","✓","")</f>
        <v/>
      </c>
      <c r="BD47" s="43" t="str">
        <f>IF(Data!AU54="x","✓","")</f>
        <v/>
      </c>
      <c r="BE47" s="43" t="str">
        <f>IF(Data!AU55="x","✓","")</f>
        <v/>
      </c>
      <c r="BF47" s="43" t="str">
        <f>IF(Data!AU56="x","✓","")</f>
        <v/>
      </c>
      <c r="BG47" s="43" t="str">
        <f>IF(Data!AU57="x","✓","")</f>
        <v/>
      </c>
      <c r="BH47" s="43" t="str">
        <f>IF(Data!AU58="x","✓","")</f>
        <v/>
      </c>
      <c r="BI47" s="43" t="str">
        <f>IF(Data!AU59="x","✓","")</f>
        <v/>
      </c>
      <c r="BJ47" s="43" t="str">
        <f>IF(Data!AU60="x","✓","")</f>
        <v/>
      </c>
      <c r="BK47" s="43" t="str">
        <f>IF(Data!AU61="x","✓","")</f>
        <v/>
      </c>
    </row>
    <row r="48" spans="2:63" ht="15.75" customHeight="1">
      <c r="B48" s="45" t="s">
        <v>46</v>
      </c>
      <c r="C48" s="51">
        <f>COUNTIF(Data!AV2:AV61,"x")</f>
        <v>3</v>
      </c>
      <c r="D48" s="46" t="str">
        <f>IF(Data!AV2="x","✓","")</f>
        <v/>
      </c>
      <c r="E48" s="46" t="str">
        <f>IF(Data!AV3="x","✓","")</f>
        <v/>
      </c>
      <c r="F48" s="46" t="str">
        <f>IF(Data!AV4="x","✓","")</f>
        <v/>
      </c>
      <c r="G48" s="46" t="str">
        <f>IF(Data!AV5="x","✓","")</f>
        <v/>
      </c>
      <c r="H48" s="46" t="str">
        <f>IF(Data!AV6="x","✓","")</f>
        <v/>
      </c>
      <c r="I48" s="46" t="str">
        <f>IF(Data!AV7="x","✓","")</f>
        <v/>
      </c>
      <c r="J48" s="46" t="str">
        <f>IF(Data!AV8="x","✓","")</f>
        <v/>
      </c>
      <c r="K48" s="46" t="str">
        <f>IF(Data!AV9="x","✓","")</f>
        <v/>
      </c>
      <c r="L48" s="46" t="str">
        <f>IF(Data!AV10="x","✓","")</f>
        <v/>
      </c>
      <c r="M48" s="46" t="str">
        <f>IF(Data!AV11="x","✓","")</f>
        <v/>
      </c>
      <c r="N48" s="46" t="str">
        <f>IF(Data!AV12="x","✓","")</f>
        <v/>
      </c>
      <c r="O48" s="46" t="str">
        <f>IF(Data!AV13="x","✓","")</f>
        <v/>
      </c>
      <c r="P48" s="46" t="str">
        <f>IF(Data!AV14="x","✓","")</f>
        <v/>
      </c>
      <c r="Q48" s="46" t="str">
        <f>IF(Data!AV15="x","✓","")</f>
        <v/>
      </c>
      <c r="R48" s="46" t="str">
        <f>IF(Data!AV16="x","✓","")</f>
        <v/>
      </c>
      <c r="S48" s="46" t="str">
        <f>IF(Data!AV17="x","✓","")</f>
        <v/>
      </c>
      <c r="T48" s="46" t="str">
        <f>IF(Data!AV18="x","✓","")</f>
        <v/>
      </c>
      <c r="U48" s="46" t="str">
        <f>IF(Data!AV19="x","✓","")</f>
        <v/>
      </c>
      <c r="V48" s="46" t="str">
        <f>IF(Data!AV20="x","✓","")</f>
        <v/>
      </c>
      <c r="W48" s="46" t="str">
        <f>IF(Data!AV21="x","✓","")</f>
        <v/>
      </c>
      <c r="X48" s="46" t="str">
        <f>IF(Data!AV22="x","✓","")</f>
        <v/>
      </c>
      <c r="Y48" s="46" t="str">
        <f>IF(Data!AV23="x","✓","")</f>
        <v/>
      </c>
      <c r="Z48" s="46" t="str">
        <f>IF(Data!AV24="x","✓","")</f>
        <v/>
      </c>
      <c r="AA48" s="46" t="str">
        <f>IF(Data!AV25="x","✓","")</f>
        <v/>
      </c>
      <c r="AB48" s="46" t="str">
        <f>IF(Data!AV26="x","✓","")</f>
        <v/>
      </c>
      <c r="AC48" s="46" t="str">
        <f>IF(Data!AV27="x","✓","")</f>
        <v/>
      </c>
      <c r="AD48" s="46" t="str">
        <f>IF(Data!AV28="x","✓","")</f>
        <v/>
      </c>
      <c r="AE48" s="46" t="str">
        <f>IF(Data!AV29="x","✓","")</f>
        <v/>
      </c>
      <c r="AF48" s="47" t="str">
        <f>IF(Data!AV30="x","✓","")</f>
        <v>✓</v>
      </c>
      <c r="AG48" s="46" t="str">
        <f>IF(Data!AV31="x","✓","")</f>
        <v/>
      </c>
      <c r="AH48" s="46" t="str">
        <f>IF(Data!AV32="x","✓","")</f>
        <v/>
      </c>
      <c r="AI48" s="46" t="str">
        <f>IF(Data!AV33="x","✓","")</f>
        <v/>
      </c>
      <c r="AJ48" s="46" t="str">
        <f>IF(Data!AV34="x","✓","")</f>
        <v/>
      </c>
      <c r="AK48" s="46" t="str">
        <f>IF(Data!AV35="x","✓","")</f>
        <v/>
      </c>
      <c r="AL48" s="47" t="str">
        <f>IF(Data!AV36="x","✓","")</f>
        <v>✓</v>
      </c>
      <c r="AM48" s="46" t="str">
        <f>IF(Data!AV37="x","✓","")</f>
        <v/>
      </c>
      <c r="AN48" s="46" t="str">
        <f>IF(Data!AV38="x","✓","")</f>
        <v/>
      </c>
      <c r="AO48" s="46" t="str">
        <f>IF(Data!AV39="x","✓","")</f>
        <v/>
      </c>
      <c r="AP48" s="46" t="str">
        <f>IF(Data!AV40="x","✓","")</f>
        <v/>
      </c>
      <c r="AQ48" s="46" t="str">
        <f>IF(Data!AV41="x","✓","")</f>
        <v/>
      </c>
      <c r="AR48" s="46" t="str">
        <f>IF(Data!AV42="x","✓","")</f>
        <v>✓</v>
      </c>
      <c r="AS48" s="46" t="str">
        <f>IF(Data!AV43="x","✓","")</f>
        <v/>
      </c>
      <c r="AT48" s="46" t="str">
        <f>IF(Data!AV44="x","✓","")</f>
        <v/>
      </c>
      <c r="AU48" s="46" t="str">
        <f>IF(Data!AV45="x","✓","")</f>
        <v/>
      </c>
      <c r="AV48" s="46" t="str">
        <f>IF(Data!AV46="x","✓","")</f>
        <v/>
      </c>
      <c r="AW48" s="46" t="str">
        <f>IF(Data!AV47="x","✓","")</f>
        <v/>
      </c>
      <c r="AX48" s="46" t="str">
        <f>IF(Data!AV48="x","✓","")</f>
        <v/>
      </c>
      <c r="AY48" s="46" t="str">
        <f>IF(Data!AV49="x","✓","")</f>
        <v/>
      </c>
      <c r="AZ48" s="46" t="str">
        <f>IF(Data!AV50="x","✓","")</f>
        <v/>
      </c>
      <c r="BA48" s="46" t="str">
        <f>IF(Data!AV51="x","✓","")</f>
        <v/>
      </c>
      <c r="BB48" s="46" t="str">
        <f>IF(Data!AV52="x","✓","")</f>
        <v/>
      </c>
      <c r="BC48" s="46" t="str">
        <f>IF(Data!AV53="x","✓","")</f>
        <v/>
      </c>
      <c r="BD48" s="46" t="str">
        <f>IF(Data!AV54="x","✓","")</f>
        <v/>
      </c>
      <c r="BE48" s="46" t="str">
        <f>IF(Data!AV55="x","✓","")</f>
        <v/>
      </c>
      <c r="BF48" s="46" t="str">
        <f>IF(Data!AV56="x","✓","")</f>
        <v/>
      </c>
      <c r="BG48" s="46" t="str">
        <f>IF(Data!AV57="x","✓","")</f>
        <v/>
      </c>
      <c r="BH48" s="46" t="str">
        <f>IF(Data!AV58="x","✓","")</f>
        <v/>
      </c>
      <c r="BI48" s="46" t="str">
        <f>IF(Data!AV59="x","✓","")</f>
        <v/>
      </c>
      <c r="BJ48" s="46" t="str">
        <f>IF(Data!AV60="x","✓","")</f>
        <v/>
      </c>
      <c r="BK48" s="46" t="str">
        <f>IF(Data!AV61="x","✓","")</f>
        <v/>
      </c>
    </row>
    <row r="49" spans="2:63" ht="15.75" customHeight="1">
      <c r="B49" s="41" t="s">
        <v>47</v>
      </c>
      <c r="C49" s="42">
        <f>COUNTIF(Data!AW2:AW61,"x")</f>
        <v>5</v>
      </c>
      <c r="D49" s="43" t="str">
        <f>IF(Data!AW2="x","✓","")</f>
        <v/>
      </c>
      <c r="E49" s="43" t="str">
        <f>IF(Data!AW3="x","✓","")</f>
        <v/>
      </c>
      <c r="F49" s="43" t="str">
        <f>IF(Data!AW4="x","✓","")</f>
        <v/>
      </c>
      <c r="G49" s="43" t="str">
        <f>IF(Data!AW5="x","✓","")</f>
        <v/>
      </c>
      <c r="H49" s="43" t="str">
        <f>IF(Data!AW6="x","✓","")</f>
        <v/>
      </c>
      <c r="I49" s="43" t="str">
        <f>IF(Data!AW7="x","✓","")</f>
        <v/>
      </c>
      <c r="J49" s="43" t="str">
        <f>IF(Data!AW8="x","✓","")</f>
        <v/>
      </c>
      <c r="K49" s="43" t="str">
        <f>IF(Data!AW9="x","✓","")</f>
        <v/>
      </c>
      <c r="L49" s="43" t="str">
        <f>IF(Data!AW10="x","✓","")</f>
        <v/>
      </c>
      <c r="M49" s="43" t="str">
        <f>IF(Data!AW11="x","✓","")</f>
        <v/>
      </c>
      <c r="N49" s="43" t="str">
        <f>IF(Data!AW12="x","✓","")</f>
        <v/>
      </c>
      <c r="O49" s="43" t="str">
        <f>IF(Data!AW13="x","✓","")</f>
        <v/>
      </c>
      <c r="P49" s="43" t="str">
        <f>IF(Data!AW14="x","✓","")</f>
        <v/>
      </c>
      <c r="Q49" s="43" t="str">
        <f>IF(Data!AW15="x","✓","")</f>
        <v/>
      </c>
      <c r="R49" s="43" t="str">
        <f>IF(Data!AW16="x","✓","")</f>
        <v/>
      </c>
      <c r="S49" s="43" t="str">
        <f>IF(Data!AW17="x","✓","")</f>
        <v/>
      </c>
      <c r="T49" s="43" t="str">
        <f>IF(Data!AW18="x","✓","")</f>
        <v/>
      </c>
      <c r="U49" s="43" t="str">
        <f>IF(Data!AW19="x","✓","")</f>
        <v/>
      </c>
      <c r="V49" s="43" t="str">
        <f>IF(Data!AW20="x","✓","")</f>
        <v/>
      </c>
      <c r="W49" s="43" t="str">
        <f>IF(Data!AW21="x","✓","")</f>
        <v/>
      </c>
      <c r="X49" s="43" t="str">
        <f>IF(Data!AW22="x","✓","")</f>
        <v/>
      </c>
      <c r="Y49" s="43" t="str">
        <f>IF(Data!AW23="x","✓","")</f>
        <v/>
      </c>
      <c r="Z49" s="47" t="str">
        <f>IF(Data!AW24="x","✓","")</f>
        <v>✓</v>
      </c>
      <c r="AA49" s="43" t="str">
        <f>IF(Data!AW25="x","✓","")</f>
        <v/>
      </c>
      <c r="AB49" s="43" t="str">
        <f>IF(Data!AW26="x","✓","")</f>
        <v/>
      </c>
      <c r="AC49" s="43" t="str">
        <f>IF(Data!AW27="x","✓","")</f>
        <v/>
      </c>
      <c r="AD49" s="43" t="str">
        <f>IF(Data!AW28="x","✓","")</f>
        <v/>
      </c>
      <c r="AE49" s="43" t="str">
        <f>IF(Data!AW29="x","✓","")</f>
        <v/>
      </c>
      <c r="AF49" s="47" t="str">
        <f>IF(Data!AW30="x","✓","")</f>
        <v>✓</v>
      </c>
      <c r="AG49" s="43" t="str">
        <f>IF(Data!AW31="x","✓","")</f>
        <v/>
      </c>
      <c r="AH49" s="47" t="str">
        <f>IF(Data!AW32="x","✓","")</f>
        <v>✓</v>
      </c>
      <c r="AI49" s="43" t="str">
        <f>IF(Data!AW33="x","✓","")</f>
        <v/>
      </c>
      <c r="AJ49" s="43" t="str">
        <f>IF(Data!AW34="x","✓","")</f>
        <v/>
      </c>
      <c r="AK49" s="44" t="str">
        <f>IF(Data!AW35="x","✓","")</f>
        <v>✓</v>
      </c>
      <c r="AL49" s="43" t="str">
        <f>IF(Data!AW36="x","✓","")</f>
        <v/>
      </c>
      <c r="AM49" s="43" t="str">
        <f>IF(Data!AW37="x","✓","")</f>
        <v/>
      </c>
      <c r="AN49" s="43" t="str">
        <f>IF(Data!AW38="x","✓","")</f>
        <v/>
      </c>
      <c r="AO49" s="43" t="str">
        <f>IF(Data!AW39="x","✓","")</f>
        <v/>
      </c>
      <c r="AP49" s="43" t="str">
        <f>IF(Data!AW40="x","✓","")</f>
        <v/>
      </c>
      <c r="AQ49" s="43" t="str">
        <f>IF(Data!AW41="x","✓","")</f>
        <v/>
      </c>
      <c r="AR49" s="43" t="str">
        <f>IF(Data!AW42="x","✓","")</f>
        <v>✓</v>
      </c>
      <c r="AS49" s="43" t="str">
        <f>IF(Data!AW43="x","✓","")</f>
        <v/>
      </c>
      <c r="AT49" s="43" t="str">
        <f>IF(Data!AW44="x","✓","")</f>
        <v/>
      </c>
      <c r="AU49" s="43" t="str">
        <f>IF(Data!AW45="x","✓","")</f>
        <v/>
      </c>
      <c r="AV49" s="43" t="str">
        <f>IF(Data!AW46="x","✓","")</f>
        <v/>
      </c>
      <c r="AW49" s="43" t="str">
        <f>IF(Data!AW47="x","✓","")</f>
        <v/>
      </c>
      <c r="AX49" s="43" t="str">
        <f>IF(Data!AW48="x","✓","")</f>
        <v/>
      </c>
      <c r="AY49" s="43" t="str">
        <f>IF(Data!AW49="x","✓","")</f>
        <v/>
      </c>
      <c r="AZ49" s="43" t="str">
        <f>IF(Data!AW50="x","✓","")</f>
        <v/>
      </c>
      <c r="BA49" s="43" t="str">
        <f>IF(Data!AW51="x","✓","")</f>
        <v/>
      </c>
      <c r="BB49" s="43" t="str">
        <f>IF(Data!AW52="x","✓","")</f>
        <v/>
      </c>
      <c r="BC49" s="43" t="str">
        <f>IF(Data!AW53="x","✓","")</f>
        <v/>
      </c>
      <c r="BD49" s="43" t="str">
        <f>IF(Data!AW54="x","✓","")</f>
        <v/>
      </c>
      <c r="BE49" s="43" t="str">
        <f>IF(Data!AW55="x","✓","")</f>
        <v/>
      </c>
      <c r="BF49" s="43" t="str">
        <f>IF(Data!AW56="x","✓","")</f>
        <v/>
      </c>
      <c r="BG49" s="43" t="str">
        <f>IF(Data!AW57="x","✓","")</f>
        <v/>
      </c>
      <c r="BH49" s="43" t="str">
        <f>IF(Data!AW58="x","✓","")</f>
        <v/>
      </c>
      <c r="BI49" s="43" t="str">
        <f>IF(Data!AW59="x","✓","")</f>
        <v/>
      </c>
      <c r="BJ49" s="43" t="str">
        <f>IF(Data!AW60="x","✓","")</f>
        <v/>
      </c>
      <c r="BK49" s="43" t="str">
        <f>IF(Data!AW61="x","✓","")</f>
        <v/>
      </c>
    </row>
    <row r="50" spans="2:63" ht="15.75" customHeight="1">
      <c r="B50" s="45" t="s">
        <v>48</v>
      </c>
      <c r="C50" s="49">
        <f>COUNTIF(Data!AX2:AX61,"x")</f>
        <v>11</v>
      </c>
      <c r="D50" s="47" t="str">
        <f>IF(Data!AX2="x","✓","")</f>
        <v>✓</v>
      </c>
      <c r="E50" s="44" t="str">
        <f>IF(Data!AX3="x","✓","")</f>
        <v>✓</v>
      </c>
      <c r="F50" s="46" t="str">
        <f>IF(Data!AX4="x","✓","")</f>
        <v/>
      </c>
      <c r="G50" s="46" t="str">
        <f>IF(Data!AX5="x","✓","")</f>
        <v/>
      </c>
      <c r="H50" s="46" t="str">
        <f>IF(Data!AX6="x","✓","")</f>
        <v/>
      </c>
      <c r="I50" s="46" t="str">
        <f>IF(Data!AX7="x","✓","")</f>
        <v/>
      </c>
      <c r="J50" s="46" t="str">
        <f>IF(Data!AX8="x","✓","")</f>
        <v/>
      </c>
      <c r="K50" s="46" t="str">
        <f>IF(Data!AX9="x","✓","")</f>
        <v/>
      </c>
      <c r="L50" s="46" t="str">
        <f>IF(Data!AX10="x","✓","")</f>
        <v/>
      </c>
      <c r="M50" s="46" t="str">
        <f>IF(Data!AX11="x","✓","")</f>
        <v/>
      </c>
      <c r="N50" s="46" t="str">
        <f>IF(Data!AX12="x","✓","")</f>
        <v/>
      </c>
      <c r="O50" s="46" t="str">
        <f>IF(Data!AX13="x","✓","")</f>
        <v/>
      </c>
      <c r="P50" s="46" t="str">
        <f>IF(Data!AX14="x","✓","")</f>
        <v/>
      </c>
      <c r="Q50" s="46" t="str">
        <f>IF(Data!AX15="x","✓","")</f>
        <v/>
      </c>
      <c r="R50" s="47" t="str">
        <f>IF(Data!AX16="x","✓","")</f>
        <v>✓</v>
      </c>
      <c r="S50" s="46" t="str">
        <f>IF(Data!AX17="x","✓","")</f>
        <v/>
      </c>
      <c r="T50" s="46" t="str">
        <f>IF(Data!AX18="x","✓","")</f>
        <v/>
      </c>
      <c r="U50" s="46" t="str">
        <f>IF(Data!AX19="x","✓","")</f>
        <v/>
      </c>
      <c r="V50" s="46" t="str">
        <f>IF(Data!AX20="x","✓","")</f>
        <v/>
      </c>
      <c r="W50" s="44" t="str">
        <f>IF(Data!AX21="x","✓","")</f>
        <v>✓</v>
      </c>
      <c r="X50" s="46" t="str">
        <f>IF(Data!AX22="x","✓","")</f>
        <v/>
      </c>
      <c r="Y50" s="44" t="str">
        <f>IF(Data!AX23="x","✓","")</f>
        <v/>
      </c>
      <c r="Z50" s="46" t="str">
        <f>IF(Data!AX24="x","✓","")</f>
        <v/>
      </c>
      <c r="AA50" s="44" t="str">
        <f>IF(Data!AX25="x","✓","")</f>
        <v>✓</v>
      </c>
      <c r="AB50" s="47" t="str">
        <f>IF(Data!AX26="x","✓","")</f>
        <v>✓</v>
      </c>
      <c r="AC50" s="46" t="str">
        <f>IF(Data!AX27="x","✓","")</f>
        <v/>
      </c>
      <c r="AD50" s="47" t="str">
        <f>IF(Data!AX28="x","✓","")</f>
        <v>✓</v>
      </c>
      <c r="AE50" s="46" t="str">
        <f>IF(Data!AX29="x","✓","")</f>
        <v/>
      </c>
      <c r="AF50" s="46" t="str">
        <f>IF(Data!AX30="x","✓","")</f>
        <v/>
      </c>
      <c r="AG50" s="44" t="str">
        <f>IF(Data!AX31="x","✓","")</f>
        <v>✓</v>
      </c>
      <c r="AH50" s="46" t="str">
        <f>IF(Data!AX32="x","✓","")</f>
        <v/>
      </c>
      <c r="AI50" s="46" t="str">
        <f>IF(Data!AX33="x","✓","")</f>
        <v/>
      </c>
      <c r="AJ50" s="46" t="str">
        <f>IF(Data!AX34="x","✓","")</f>
        <v/>
      </c>
      <c r="AK50" s="44" t="str">
        <f>IF(Data!AX35="x","✓","")</f>
        <v>✓</v>
      </c>
      <c r="AL50" s="46" t="str">
        <f>IF(Data!AX36="x","✓","")</f>
        <v/>
      </c>
      <c r="AM50" s="46" t="str">
        <f>IF(Data!AX37="x","✓","")</f>
        <v/>
      </c>
      <c r="AN50" s="46" t="str">
        <f>IF(Data!AX38="x","✓","")</f>
        <v/>
      </c>
      <c r="AO50" s="46" t="str">
        <f>IF(Data!AX39="x","✓","")</f>
        <v/>
      </c>
      <c r="AP50" s="47" t="str">
        <f>IF(Data!AX40="x","✓","")</f>
        <v>✓</v>
      </c>
      <c r="AQ50" s="46" t="str">
        <f>IF(Data!AX41="x","✓","")</f>
        <v/>
      </c>
      <c r="AR50" s="46" t="str">
        <f>IF(Data!AX42="x","✓","")</f>
        <v>✓</v>
      </c>
      <c r="AS50" s="46" t="str">
        <f>IF(Data!AX43="x","✓","")</f>
        <v/>
      </c>
      <c r="AT50" s="46" t="str">
        <f>IF(Data!AX44="x","✓","")</f>
        <v/>
      </c>
      <c r="AU50" s="46" t="str">
        <f>IF(Data!AX45="x","✓","")</f>
        <v/>
      </c>
      <c r="AV50" s="46" t="str">
        <f>IF(Data!AX46="x","✓","")</f>
        <v/>
      </c>
      <c r="AW50" s="46" t="str">
        <f>IF(Data!AX47="x","✓","")</f>
        <v/>
      </c>
      <c r="AX50" s="46" t="str">
        <f>IF(Data!AX48="x","✓","")</f>
        <v/>
      </c>
      <c r="AY50" s="46" t="str">
        <f>IF(Data!AX49="x","✓","")</f>
        <v/>
      </c>
      <c r="AZ50" s="46" t="str">
        <f>IF(Data!AX50="x","✓","")</f>
        <v/>
      </c>
      <c r="BA50" s="46" t="str">
        <f>IF(Data!AX51="x","✓","")</f>
        <v/>
      </c>
      <c r="BB50" s="46" t="str">
        <f>IF(Data!AX52="x","✓","")</f>
        <v/>
      </c>
      <c r="BC50" s="46" t="str">
        <f>IF(Data!AX53="x","✓","")</f>
        <v/>
      </c>
      <c r="BD50" s="46" t="str">
        <f>IF(Data!AX54="x","✓","")</f>
        <v/>
      </c>
      <c r="BE50" s="46" t="str">
        <f>IF(Data!AX55="x","✓","")</f>
        <v/>
      </c>
      <c r="BF50" s="46" t="str">
        <f>IF(Data!AX56="x","✓","")</f>
        <v/>
      </c>
      <c r="BG50" s="46" t="str">
        <f>IF(Data!AX57="x","✓","")</f>
        <v/>
      </c>
      <c r="BH50" s="46" t="str">
        <f>IF(Data!AX58="x","✓","")</f>
        <v/>
      </c>
      <c r="BI50" s="46" t="str">
        <f>IF(Data!AX59="x","✓","")</f>
        <v/>
      </c>
      <c r="BJ50" s="46" t="str">
        <f>IF(Data!AX60="x","✓","")</f>
        <v/>
      </c>
      <c r="BK50" s="46" t="str">
        <f>IF(Data!AX61="x","✓","")</f>
        <v/>
      </c>
    </row>
    <row r="51" spans="2:63" ht="15.75" customHeight="1">
      <c r="B51" s="41" t="s">
        <v>49</v>
      </c>
      <c r="C51" s="48">
        <f>COUNTIF(Data!AY2:AY61,"x")</f>
        <v>8</v>
      </c>
      <c r="D51" s="43" t="str">
        <f>IF(Data!AY2="x","✓","")</f>
        <v/>
      </c>
      <c r="E51" s="43" t="str">
        <f>IF(Data!AY3="x","✓","")</f>
        <v/>
      </c>
      <c r="F51" s="43" t="str">
        <f>IF(Data!AY4="x","✓","")</f>
        <v/>
      </c>
      <c r="G51" s="43" t="str">
        <f>IF(Data!AY5="x","✓","")</f>
        <v/>
      </c>
      <c r="H51" s="43" t="str">
        <f>IF(Data!AY6="x","✓","")</f>
        <v/>
      </c>
      <c r="I51" s="43" t="str">
        <f>IF(Data!AY7="x","✓","")</f>
        <v/>
      </c>
      <c r="J51" s="43" t="str">
        <f>IF(Data!AY8="x","✓","")</f>
        <v/>
      </c>
      <c r="K51" s="43" t="str">
        <f>IF(Data!AY9="x","✓","")</f>
        <v/>
      </c>
      <c r="L51" s="43" t="str">
        <f>IF(Data!AY10="x","✓","")</f>
        <v/>
      </c>
      <c r="M51" s="43" t="str">
        <f>IF(Data!AY11="x","✓","")</f>
        <v/>
      </c>
      <c r="N51" s="47" t="str">
        <f>IF(Data!AY12="x","✓","")</f>
        <v>✓</v>
      </c>
      <c r="O51" s="43" t="str">
        <f>IF(Data!AY13="x","✓","")</f>
        <v/>
      </c>
      <c r="P51" s="43" t="str">
        <f>IF(Data!AY14="x","✓","")</f>
        <v/>
      </c>
      <c r="Q51" s="43" t="str">
        <f>IF(Data!AY15="x","✓","")</f>
        <v/>
      </c>
      <c r="R51" s="43" t="str">
        <f>IF(Data!AY16="x","✓","")</f>
        <v/>
      </c>
      <c r="S51" s="43" t="str">
        <f>IF(Data!AY17="x","✓","")</f>
        <v/>
      </c>
      <c r="T51" s="43" t="str">
        <f>IF(Data!AY18="x","✓","")</f>
        <v/>
      </c>
      <c r="U51" s="44" t="str">
        <f>IF(Data!AY19="x","✓","")</f>
        <v>✓</v>
      </c>
      <c r="V51" s="43" t="str">
        <f>IF(Data!AY20="x","✓","")</f>
        <v/>
      </c>
      <c r="W51" s="43" t="str">
        <f>IF(Data!AY21="x","✓","")</f>
        <v/>
      </c>
      <c r="X51" s="43" t="str">
        <f>IF(Data!AY22="x","✓","")</f>
        <v/>
      </c>
      <c r="Y51" s="43" t="str">
        <f>IF(Data!AY23="x","✓","")</f>
        <v/>
      </c>
      <c r="Z51" s="43" t="str">
        <f>IF(Data!AY24="x","✓","")</f>
        <v/>
      </c>
      <c r="AA51" s="43" t="str">
        <f>IF(Data!AY25="x","✓","")</f>
        <v/>
      </c>
      <c r="AB51" s="43" t="str">
        <f>IF(Data!AY26="x","✓","")</f>
        <v/>
      </c>
      <c r="AC51" s="43" t="str">
        <f>IF(Data!AY27="x","✓","")</f>
        <v/>
      </c>
      <c r="AD51" s="43" t="str">
        <f>IF(Data!AY28="x","✓","")</f>
        <v/>
      </c>
      <c r="AE51" s="44" t="str">
        <f>IF(Data!AY29="x","✓","")</f>
        <v>✓</v>
      </c>
      <c r="AF51" s="43" t="str">
        <f>IF(Data!AY30="x","✓","")</f>
        <v/>
      </c>
      <c r="AG51" s="43" t="str">
        <f>IF(Data!AY31="x","✓","")</f>
        <v/>
      </c>
      <c r="AH51" s="43" t="str">
        <f>IF(Data!AY32="x","✓","")</f>
        <v/>
      </c>
      <c r="AI51" s="44" t="str">
        <f>IF(Data!AY33="x","✓","")</f>
        <v>✓</v>
      </c>
      <c r="AJ51" s="43" t="str">
        <f>IF(Data!AY34="x","✓","")</f>
        <v/>
      </c>
      <c r="AK51" s="43" t="str">
        <f>IF(Data!AY35="x","✓","")</f>
        <v/>
      </c>
      <c r="AL51" s="47" t="str">
        <f>IF(Data!AY36="x","✓","")</f>
        <v>✓</v>
      </c>
      <c r="AM51" s="43" t="str">
        <f>IF(Data!AY37="x","✓","")</f>
        <v/>
      </c>
      <c r="AN51" s="47" t="str">
        <f>IF(Data!AY38="x","✓","")</f>
        <v>✓</v>
      </c>
      <c r="AO51" s="44" t="str">
        <f>IF(Data!AY39="x","✓","")</f>
        <v>✓</v>
      </c>
      <c r="AP51" s="43" t="str">
        <f>IF(Data!AY40="x","✓","")</f>
        <v/>
      </c>
      <c r="AQ51" s="43" t="str">
        <f>IF(Data!AY41="x","✓","")</f>
        <v/>
      </c>
      <c r="AR51" s="43" t="str">
        <f>IF(Data!AY42="x","✓","")</f>
        <v>✓</v>
      </c>
      <c r="AS51" s="43" t="str">
        <f>IF(Data!AY43="x","✓","")</f>
        <v/>
      </c>
      <c r="AT51" s="43" t="str">
        <f>IF(Data!AY44="x","✓","")</f>
        <v/>
      </c>
      <c r="AU51" s="43" t="str">
        <f>IF(Data!AY45="x","✓","")</f>
        <v/>
      </c>
      <c r="AV51" s="43" t="str">
        <f>IF(Data!AY46="x","✓","")</f>
        <v/>
      </c>
      <c r="AW51" s="43" t="str">
        <f>IF(Data!AY47="x","✓","")</f>
        <v/>
      </c>
      <c r="AX51" s="43" t="str">
        <f>IF(Data!AY48="x","✓","")</f>
        <v/>
      </c>
      <c r="AY51" s="43" t="str">
        <f>IF(Data!AY49="x","✓","")</f>
        <v/>
      </c>
      <c r="AZ51" s="43" t="str">
        <f>IF(Data!AY50="x","✓","")</f>
        <v/>
      </c>
      <c r="BA51" s="43" t="str">
        <f>IF(Data!AY51="x","✓","")</f>
        <v/>
      </c>
      <c r="BB51" s="43" t="str">
        <f>IF(Data!AY52="x","✓","")</f>
        <v/>
      </c>
      <c r="BC51" s="43" t="str">
        <f>IF(Data!AY53="x","✓","")</f>
        <v/>
      </c>
      <c r="BD51" s="43" t="str">
        <f>IF(Data!AY54="x","✓","")</f>
        <v/>
      </c>
      <c r="BE51" s="43" t="str">
        <f>IF(Data!AY55="x","✓","")</f>
        <v/>
      </c>
      <c r="BF51" s="43" t="str">
        <f>IF(Data!AY56="x","✓","")</f>
        <v/>
      </c>
      <c r="BG51" s="43" t="str">
        <f>IF(Data!AY57="x","✓","")</f>
        <v/>
      </c>
      <c r="BH51" s="43" t="str">
        <f>IF(Data!AY58="x","✓","")</f>
        <v/>
      </c>
      <c r="BI51" s="43" t="str">
        <f>IF(Data!AY59="x","✓","")</f>
        <v/>
      </c>
      <c r="BJ51" s="43" t="str">
        <f>IF(Data!AY60="x","✓","")</f>
        <v/>
      </c>
      <c r="BK51" s="43" t="str">
        <f>IF(Data!AY61="x","✓","")</f>
        <v/>
      </c>
    </row>
    <row r="52" spans="2:63" ht="15.75" customHeight="1">
      <c r="B52" s="45" t="s">
        <v>50</v>
      </c>
      <c r="C52" s="42">
        <f>COUNTIF(Data!AZ2:AZ61,"x")</f>
        <v>6</v>
      </c>
      <c r="D52" s="46" t="str">
        <f>IF(Data!AZ2="x","✓","")</f>
        <v/>
      </c>
      <c r="E52" s="46" t="str">
        <f>IF(Data!AZ3="x","✓","")</f>
        <v/>
      </c>
      <c r="F52" s="46" t="str">
        <f>IF(Data!AZ4="x","✓","")</f>
        <v/>
      </c>
      <c r="G52" s="46" t="str">
        <f>IF(Data!AZ5="x","✓","")</f>
        <v/>
      </c>
      <c r="H52" s="46" t="str">
        <f>IF(Data!AZ6="x","✓","")</f>
        <v/>
      </c>
      <c r="I52" s="46" t="str">
        <f>IF(Data!AZ7="x","✓","")</f>
        <v/>
      </c>
      <c r="J52" s="46" t="str">
        <f>IF(Data!AZ8="x","✓","")</f>
        <v/>
      </c>
      <c r="K52" s="46" t="str">
        <f>IF(Data!AZ9="x","✓","")</f>
        <v/>
      </c>
      <c r="L52" s="46" t="str">
        <f>IF(Data!AZ10="x","✓","")</f>
        <v/>
      </c>
      <c r="M52" s="46" t="str">
        <f>IF(Data!AZ11="x","✓","")</f>
        <v/>
      </c>
      <c r="N52" s="46" t="str">
        <f>IF(Data!AZ12="x","✓","")</f>
        <v/>
      </c>
      <c r="O52" s="46" t="str">
        <f>IF(Data!AZ13="x","✓","")</f>
        <v/>
      </c>
      <c r="P52" s="46" t="str">
        <f>IF(Data!AZ14="x","✓","")</f>
        <v/>
      </c>
      <c r="Q52" s="46" t="str">
        <f>IF(Data!AZ15="x","✓","")</f>
        <v/>
      </c>
      <c r="R52" s="46" t="str">
        <f>IF(Data!AZ16="x","✓","")</f>
        <v/>
      </c>
      <c r="S52" s="46" t="str">
        <f>IF(Data!AZ17="x","✓","")</f>
        <v/>
      </c>
      <c r="T52" s="46" t="str">
        <f>IF(Data!AZ18="x","✓","")</f>
        <v/>
      </c>
      <c r="U52" s="46" t="str">
        <f>IF(Data!AZ19="x","✓","")</f>
        <v/>
      </c>
      <c r="V52" s="46" t="str">
        <f>IF(Data!AZ20="x","✓","")</f>
        <v/>
      </c>
      <c r="W52" s="46" t="str">
        <f>IF(Data!AZ21="x","✓","")</f>
        <v/>
      </c>
      <c r="X52" s="46" t="str">
        <f>IF(Data!AZ22="x","✓","")</f>
        <v/>
      </c>
      <c r="Y52" s="46" t="str">
        <f>IF(Data!AZ23="x","✓","")</f>
        <v/>
      </c>
      <c r="Z52" s="46" t="str">
        <f>IF(Data!AZ24="x","✓","")</f>
        <v/>
      </c>
      <c r="AA52" s="46" t="str">
        <f>IF(Data!AZ25="x","✓","")</f>
        <v/>
      </c>
      <c r="AB52" s="46" t="str">
        <f>IF(Data!AZ26="x","✓","")</f>
        <v/>
      </c>
      <c r="AC52" s="46" t="str">
        <f>IF(Data!AZ27="x","✓","")</f>
        <v/>
      </c>
      <c r="AD52" s="46" t="str">
        <f>IF(Data!AZ28="x","✓","")</f>
        <v/>
      </c>
      <c r="AE52" s="44" t="str">
        <f>IF(Data!AZ29="x","✓","")</f>
        <v>✓</v>
      </c>
      <c r="AF52" s="46" t="str">
        <f>IF(Data!AZ30="x","✓","")</f>
        <v/>
      </c>
      <c r="AG52" s="46" t="str">
        <f>IF(Data!AZ31="x","✓","")</f>
        <v/>
      </c>
      <c r="AH52" s="46" t="str">
        <f>IF(Data!AZ32="x","✓","")</f>
        <v/>
      </c>
      <c r="AI52" s="44" t="str">
        <f>IF(Data!AZ33="x","✓","")</f>
        <v>✓</v>
      </c>
      <c r="AJ52" s="46" t="str">
        <f>IF(Data!AZ34="x","✓","")</f>
        <v/>
      </c>
      <c r="AK52" s="46" t="str">
        <f>IF(Data!AZ35="x","✓","")</f>
        <v/>
      </c>
      <c r="AL52" s="47" t="str">
        <f>IF(Data!AZ36="x","✓","")</f>
        <v>✓</v>
      </c>
      <c r="AM52" s="46" t="str">
        <f>IF(Data!AZ37="x","✓","")</f>
        <v/>
      </c>
      <c r="AN52" s="47" t="str">
        <f>IF(Data!AZ38="x","✓","")</f>
        <v>✓</v>
      </c>
      <c r="AO52" s="44" t="str">
        <f>IF(Data!AZ39="x","✓","")</f>
        <v>✓</v>
      </c>
      <c r="AP52" s="46" t="str">
        <f>IF(Data!AZ40="x","✓","")</f>
        <v/>
      </c>
      <c r="AQ52" s="46" t="str">
        <f>IF(Data!AZ41="x","✓","")</f>
        <v/>
      </c>
      <c r="AR52" s="46" t="str">
        <f>IF(Data!AZ42="x","✓","")</f>
        <v>✓</v>
      </c>
      <c r="AS52" s="46" t="str">
        <f>IF(Data!AZ43="x","✓","")</f>
        <v/>
      </c>
      <c r="AT52" s="46" t="str">
        <f>IF(Data!AZ44="x","✓","")</f>
        <v/>
      </c>
      <c r="AU52" s="46" t="str">
        <f>IF(Data!AZ45="x","✓","")</f>
        <v/>
      </c>
      <c r="AV52" s="46" t="str">
        <f>IF(Data!AZ46="x","✓","")</f>
        <v/>
      </c>
      <c r="AW52" s="46" t="str">
        <f>IF(Data!AZ47="x","✓","")</f>
        <v/>
      </c>
      <c r="AX52" s="46" t="str">
        <f>IF(Data!AZ48="x","✓","")</f>
        <v/>
      </c>
      <c r="AY52" s="46" t="str">
        <f>IF(Data!AZ49="x","✓","")</f>
        <v/>
      </c>
      <c r="AZ52" s="46" t="str">
        <f>IF(Data!AZ50="x","✓","")</f>
        <v/>
      </c>
      <c r="BA52" s="46" t="str">
        <f>IF(Data!AZ51="x","✓","")</f>
        <v/>
      </c>
      <c r="BB52" s="46" t="str">
        <f>IF(Data!AZ52="x","✓","")</f>
        <v/>
      </c>
      <c r="BC52" s="46" t="str">
        <f>IF(Data!AZ53="x","✓","")</f>
        <v/>
      </c>
      <c r="BD52" s="46" t="str">
        <f>IF(Data!AZ54="x","✓","")</f>
        <v/>
      </c>
      <c r="BE52" s="46" t="str">
        <f>IF(Data!AZ55="x","✓","")</f>
        <v/>
      </c>
      <c r="BF52" s="46" t="str">
        <f>IF(Data!AZ56="x","✓","")</f>
        <v/>
      </c>
      <c r="BG52" s="46" t="str">
        <f>IF(Data!AZ57="x","✓","")</f>
        <v/>
      </c>
      <c r="BH52" s="46" t="str">
        <f>IF(Data!AZ58="x","✓","")</f>
        <v/>
      </c>
      <c r="BI52" s="46" t="str">
        <f>IF(Data!AZ59="x","✓","")</f>
        <v/>
      </c>
      <c r="BJ52" s="46" t="str">
        <f>IF(Data!AZ60="x","✓","")</f>
        <v/>
      </c>
      <c r="BK52" s="46" t="str">
        <f>IF(Data!AZ61="x","✓","")</f>
        <v/>
      </c>
    </row>
    <row r="53" spans="2:63" ht="15.75" customHeight="1">
      <c r="B53" s="41" t="s">
        <v>51</v>
      </c>
      <c r="C53" s="42">
        <f>COUNTIF(Data!BA2:BA61,"x")</f>
        <v>5</v>
      </c>
      <c r="D53" s="43" t="str">
        <f>IF(Data!BA2="x","✓","")</f>
        <v/>
      </c>
      <c r="E53" s="43" t="str">
        <f>IF(Data!BA3="x","✓","")</f>
        <v/>
      </c>
      <c r="F53" s="43" t="str">
        <f>IF(Data!BA4="x","✓","")</f>
        <v/>
      </c>
      <c r="G53" s="43" t="str">
        <f>IF(Data!BA5="x","✓","")</f>
        <v/>
      </c>
      <c r="H53" s="43" t="str">
        <f>IF(Data!BA6="x","✓","")</f>
        <v/>
      </c>
      <c r="I53" s="43" t="str">
        <f>IF(Data!BA7="x","✓","")</f>
        <v/>
      </c>
      <c r="J53" s="43" t="str">
        <f>IF(Data!BA8="x","✓","")</f>
        <v/>
      </c>
      <c r="K53" s="43" t="str">
        <f>IF(Data!BA9="x","✓","")</f>
        <v/>
      </c>
      <c r="L53" s="43" t="str">
        <f>IF(Data!BA10="x","✓","")</f>
        <v/>
      </c>
      <c r="M53" s="43" t="str">
        <f>IF(Data!BA11="x","✓","")</f>
        <v/>
      </c>
      <c r="N53" s="43" t="str">
        <f>IF(Data!BA12="x","✓","")</f>
        <v/>
      </c>
      <c r="O53" s="43" t="str">
        <f>IF(Data!BA13="x","✓","")</f>
        <v/>
      </c>
      <c r="P53" s="43" t="str">
        <f>IF(Data!BA14="x","✓","")</f>
        <v/>
      </c>
      <c r="Q53" s="43" t="str">
        <f>IF(Data!BA15="x","✓","")</f>
        <v/>
      </c>
      <c r="R53" s="43" t="str">
        <f>IF(Data!BA16="x","✓","")</f>
        <v/>
      </c>
      <c r="S53" s="43" t="str">
        <f>IF(Data!BA17="x","✓","")</f>
        <v/>
      </c>
      <c r="T53" s="43" t="str">
        <f>IF(Data!BA18="x","✓","")</f>
        <v/>
      </c>
      <c r="U53" s="43" t="str">
        <f>IF(Data!BA19="x","✓","")</f>
        <v/>
      </c>
      <c r="V53" s="43" t="str">
        <f>IF(Data!BA20="x","✓","")</f>
        <v/>
      </c>
      <c r="W53" s="43" t="str">
        <f>IF(Data!BA21="x","✓","")</f>
        <v/>
      </c>
      <c r="X53" s="43" t="str">
        <f>IF(Data!BA22="x","✓","")</f>
        <v/>
      </c>
      <c r="Y53" s="43" t="str">
        <f>IF(Data!BA23="x","✓","")</f>
        <v/>
      </c>
      <c r="Z53" s="43" t="str">
        <f>IF(Data!BA24="x","✓","")</f>
        <v/>
      </c>
      <c r="AA53" s="43" t="str">
        <f>IF(Data!BA25="x","✓","")</f>
        <v/>
      </c>
      <c r="AB53" s="43" t="str">
        <f>IF(Data!BA26="x","✓","")</f>
        <v/>
      </c>
      <c r="AC53" s="43" t="str">
        <f>IF(Data!BA27="x","✓","")</f>
        <v/>
      </c>
      <c r="AD53" s="43" t="str">
        <f>IF(Data!BA28="x","✓","")</f>
        <v/>
      </c>
      <c r="AE53" s="44" t="str">
        <f>IF(Data!BA29="x","✓","")</f>
        <v>✓</v>
      </c>
      <c r="AF53" s="43" t="str">
        <f>IF(Data!BA30="x","✓","")</f>
        <v/>
      </c>
      <c r="AG53" s="43" t="str">
        <f>IF(Data!BA31="x","✓","")</f>
        <v/>
      </c>
      <c r="AH53" s="43" t="str">
        <f>IF(Data!BA32="x","✓","")</f>
        <v/>
      </c>
      <c r="AI53" s="43" t="str">
        <f>IF(Data!BA33="x","✓","")</f>
        <v/>
      </c>
      <c r="AJ53" s="43" t="str">
        <f>IF(Data!BA34="x","✓","")</f>
        <v/>
      </c>
      <c r="AK53" s="43" t="str">
        <f>IF(Data!BA35="x","✓","")</f>
        <v/>
      </c>
      <c r="AL53" s="47" t="str">
        <f>IF(Data!BA36="x","✓","")</f>
        <v>✓</v>
      </c>
      <c r="AM53" s="43" t="str">
        <f>IF(Data!BA37="x","✓","")</f>
        <v/>
      </c>
      <c r="AN53" s="47" t="str">
        <f>IF(Data!BA38="x","✓","")</f>
        <v>✓</v>
      </c>
      <c r="AO53" s="44" t="str">
        <f>IF(Data!BA39="x","✓","")</f>
        <v>✓</v>
      </c>
      <c r="AP53" s="43" t="str">
        <f>IF(Data!BA40="x","✓","")</f>
        <v/>
      </c>
      <c r="AQ53" s="43" t="str">
        <f>IF(Data!BA41="x","✓","")</f>
        <v/>
      </c>
      <c r="AR53" s="43" t="str">
        <f>IF(Data!BA42="x","✓","")</f>
        <v>✓</v>
      </c>
      <c r="AS53" s="43" t="str">
        <f>IF(Data!BA43="x","✓","")</f>
        <v/>
      </c>
      <c r="AT53" s="43" t="str">
        <f>IF(Data!BA44="x","✓","")</f>
        <v/>
      </c>
      <c r="AU53" s="43" t="str">
        <f>IF(Data!BA45="x","✓","")</f>
        <v/>
      </c>
      <c r="AV53" s="43" t="str">
        <f>IF(Data!BA46="x","✓","")</f>
        <v/>
      </c>
      <c r="AW53" s="43" t="str">
        <f>IF(Data!BA47="x","✓","")</f>
        <v/>
      </c>
      <c r="AX53" s="43" t="str">
        <f>IF(Data!BA48="x","✓","")</f>
        <v/>
      </c>
      <c r="AY53" s="43" t="str">
        <f>IF(Data!BA49="x","✓","")</f>
        <v/>
      </c>
      <c r="AZ53" s="43" t="str">
        <f>IF(Data!BA50="x","✓","")</f>
        <v/>
      </c>
      <c r="BA53" s="43" t="str">
        <f>IF(Data!BA51="x","✓","")</f>
        <v/>
      </c>
      <c r="BB53" s="43" t="str">
        <f>IF(Data!BA52="x","✓","")</f>
        <v/>
      </c>
      <c r="BC53" s="43" t="str">
        <f>IF(Data!BA53="x","✓","")</f>
        <v/>
      </c>
      <c r="BD53" s="43" t="str">
        <f>IF(Data!BA54="x","✓","")</f>
        <v/>
      </c>
      <c r="BE53" s="43" t="str">
        <f>IF(Data!BA55="x","✓","")</f>
        <v/>
      </c>
      <c r="BF53" s="43" t="str">
        <f>IF(Data!BA56="x","✓","")</f>
        <v/>
      </c>
      <c r="BG53" s="43" t="str">
        <f>IF(Data!BA57="x","✓","")</f>
        <v/>
      </c>
      <c r="BH53" s="43" t="str">
        <f>IF(Data!BA58="x","✓","")</f>
        <v/>
      </c>
      <c r="BI53" s="43" t="str">
        <f>IF(Data!BA59="x","✓","")</f>
        <v/>
      </c>
      <c r="BJ53" s="43" t="str">
        <f>IF(Data!BA60="x","✓","")</f>
        <v/>
      </c>
      <c r="BK53" s="43" t="str">
        <f>IF(Data!BA61="x","✓","")</f>
        <v/>
      </c>
    </row>
    <row r="54" spans="2:63" ht="15.75" customHeight="1">
      <c r="B54" s="45" t="s">
        <v>52</v>
      </c>
      <c r="C54" s="42">
        <f>COUNTIF(Data!BB2:BB61,"x")</f>
        <v>5</v>
      </c>
      <c r="D54" s="46" t="str">
        <f>IF(Data!BB2="x","✓","")</f>
        <v/>
      </c>
      <c r="E54" s="46" t="str">
        <f>IF(Data!BB3="x","✓","")</f>
        <v/>
      </c>
      <c r="F54" s="46" t="str">
        <f>IF(Data!BB4="x","✓","")</f>
        <v/>
      </c>
      <c r="G54" s="46" t="str">
        <f>IF(Data!BB5="x","✓","")</f>
        <v/>
      </c>
      <c r="H54" s="46" t="str">
        <f>IF(Data!BB6="x","✓","")</f>
        <v/>
      </c>
      <c r="I54" s="46" t="str">
        <f>IF(Data!BB7="x","✓","")</f>
        <v/>
      </c>
      <c r="J54" s="46" t="str">
        <f>IF(Data!BB8="x","✓","")</f>
        <v/>
      </c>
      <c r="K54" s="46" t="str">
        <f>IF(Data!BB9="x","✓","")</f>
        <v/>
      </c>
      <c r="L54" s="46" t="str">
        <f>IF(Data!BB10="x","✓","")</f>
        <v/>
      </c>
      <c r="M54" s="46" t="str">
        <f>IF(Data!BB11="x","✓","")</f>
        <v/>
      </c>
      <c r="N54" s="46" t="str">
        <f>IF(Data!BB12="x","✓","")</f>
        <v/>
      </c>
      <c r="O54" s="46" t="str">
        <f>IF(Data!BB13="x","✓","")</f>
        <v/>
      </c>
      <c r="P54" s="46" t="str">
        <f>IF(Data!BB14="x","✓","")</f>
        <v/>
      </c>
      <c r="Q54" s="44" t="str">
        <f>IF(Data!BB15="x","✓","")</f>
        <v>✓</v>
      </c>
      <c r="R54" s="46" t="str">
        <f>IF(Data!BB16="x","✓","")</f>
        <v/>
      </c>
      <c r="S54" s="46" t="str">
        <f>IF(Data!BB17="x","✓","")</f>
        <v/>
      </c>
      <c r="T54" s="46" t="str">
        <f>IF(Data!BB18="x","✓","")</f>
        <v/>
      </c>
      <c r="U54" s="46" t="str">
        <f>IF(Data!BB19="x","✓","")</f>
        <v/>
      </c>
      <c r="V54" s="46" t="str">
        <f>IF(Data!BB20="x","✓","")</f>
        <v/>
      </c>
      <c r="W54" s="46" t="str">
        <f>IF(Data!BB21="x","✓","")</f>
        <v/>
      </c>
      <c r="X54" s="46" t="str">
        <f>IF(Data!BB22="x","✓","")</f>
        <v/>
      </c>
      <c r="Y54" s="46" t="str">
        <f>IF(Data!BB23="x","✓","")</f>
        <v/>
      </c>
      <c r="Z54" s="46" t="str">
        <f>IF(Data!BB24="x","✓","")</f>
        <v/>
      </c>
      <c r="AA54" s="46" t="str">
        <f>IF(Data!BB25="x","✓","")</f>
        <v/>
      </c>
      <c r="AB54" s="46" t="str">
        <f>IF(Data!BB26="x","✓","")</f>
        <v/>
      </c>
      <c r="AC54" s="46" t="str">
        <f>IF(Data!BB27="x","✓","")</f>
        <v/>
      </c>
      <c r="AD54" s="46" t="str">
        <f>IF(Data!BB28="x","✓","")</f>
        <v/>
      </c>
      <c r="AE54" s="46" t="str">
        <f>IF(Data!BB29="x","✓","")</f>
        <v/>
      </c>
      <c r="AF54" s="47" t="str">
        <f>IF(Data!BB30="x","✓","")</f>
        <v>✓</v>
      </c>
      <c r="AG54" s="46" t="str">
        <f>IF(Data!BB31="x","✓","")</f>
        <v/>
      </c>
      <c r="AH54" s="46" t="str">
        <f>IF(Data!BB32="x","✓","")</f>
        <v/>
      </c>
      <c r="AI54" s="44" t="str">
        <f>IF(Data!BB33="x","✓","")</f>
        <v>✓</v>
      </c>
      <c r="AJ54" s="46" t="str">
        <f>IF(Data!BB34="x","✓","")</f>
        <v/>
      </c>
      <c r="AK54" s="46" t="str">
        <f>IF(Data!BB35="x","✓","")</f>
        <v/>
      </c>
      <c r="AL54" s="47" t="str">
        <f>IF(Data!BB36="x","✓","")</f>
        <v>✓</v>
      </c>
      <c r="AM54" s="46" t="str">
        <f>IF(Data!BB37="x","✓","")</f>
        <v/>
      </c>
      <c r="AN54" s="46" t="str">
        <f>IF(Data!BB38="x","✓","")</f>
        <v/>
      </c>
      <c r="AO54" s="46" t="str">
        <f>IF(Data!BB39="x","✓","")</f>
        <v/>
      </c>
      <c r="AP54" s="46" t="str">
        <f>IF(Data!BB40="x","✓","")</f>
        <v/>
      </c>
      <c r="AQ54" s="46" t="str">
        <f>IF(Data!BB41="x","✓","")</f>
        <v/>
      </c>
      <c r="AR54" s="46" t="str">
        <f>IF(Data!BB42="x","✓","")</f>
        <v>✓</v>
      </c>
      <c r="AS54" s="46" t="str">
        <f>IF(Data!BB43="x","✓","")</f>
        <v/>
      </c>
      <c r="AT54" s="46" t="str">
        <f>IF(Data!BB44="x","✓","")</f>
        <v/>
      </c>
      <c r="AU54" s="46" t="str">
        <f>IF(Data!BB45="x","✓","")</f>
        <v/>
      </c>
      <c r="AV54" s="46" t="str">
        <f>IF(Data!BB46="x","✓","")</f>
        <v/>
      </c>
      <c r="AW54" s="46" t="str">
        <f>IF(Data!BB47="x","✓","")</f>
        <v/>
      </c>
      <c r="AX54" s="46" t="str">
        <f>IF(Data!BB48="x","✓","")</f>
        <v/>
      </c>
      <c r="AY54" s="46" t="str">
        <f>IF(Data!BB49="x","✓","")</f>
        <v/>
      </c>
      <c r="AZ54" s="46" t="str">
        <f>IF(Data!BB50="x","✓","")</f>
        <v/>
      </c>
      <c r="BA54" s="46" t="str">
        <f>IF(Data!BB51="x","✓","")</f>
        <v/>
      </c>
      <c r="BB54" s="46" t="str">
        <f>IF(Data!BB52="x","✓","")</f>
        <v/>
      </c>
      <c r="BC54" s="46" t="str">
        <f>IF(Data!BB53="x","✓","")</f>
        <v/>
      </c>
      <c r="BD54" s="46" t="str">
        <f>IF(Data!BB54="x","✓","")</f>
        <v/>
      </c>
      <c r="BE54" s="46" t="str">
        <f>IF(Data!BB55="x","✓","")</f>
        <v/>
      </c>
      <c r="BF54" s="46" t="str">
        <f>IF(Data!BB56="x","✓","")</f>
        <v/>
      </c>
      <c r="BG54" s="46" t="str">
        <f>IF(Data!BB57="x","✓","")</f>
        <v/>
      </c>
      <c r="BH54" s="46" t="str">
        <f>IF(Data!BB58="x","✓","")</f>
        <v/>
      </c>
      <c r="BI54" s="46" t="str">
        <f>IF(Data!BB59="x","✓","")</f>
        <v/>
      </c>
      <c r="BJ54" s="46" t="str">
        <f>IF(Data!BB60="x","✓","")</f>
        <v/>
      </c>
      <c r="BK54" s="46" t="str">
        <f>IF(Data!BB61="x","✓","")</f>
        <v/>
      </c>
    </row>
    <row r="55" spans="2:63" ht="15.75" customHeight="1">
      <c r="B55" s="41" t="s">
        <v>53</v>
      </c>
      <c r="C55" s="42">
        <f>COUNTIF(Data!BC2:BC61,"x")</f>
        <v>6</v>
      </c>
      <c r="D55" s="43" t="str">
        <f>IF(Data!BC2="x","✓","")</f>
        <v/>
      </c>
      <c r="E55" s="43" t="str">
        <f>IF(Data!BC3="x","✓","")</f>
        <v/>
      </c>
      <c r="F55" s="43" t="str">
        <f>IF(Data!BC4="x","✓","")</f>
        <v/>
      </c>
      <c r="G55" s="43" t="str">
        <f>IF(Data!BC5="x","✓","")</f>
        <v/>
      </c>
      <c r="H55" s="43" t="str">
        <f>IF(Data!BC6="x","✓","")</f>
        <v/>
      </c>
      <c r="I55" s="43" t="str">
        <f>IF(Data!BC7="x","✓","")</f>
        <v/>
      </c>
      <c r="J55" s="43" t="str">
        <f>IF(Data!BC8="x","✓","")</f>
        <v/>
      </c>
      <c r="K55" s="43" t="str">
        <f>IF(Data!BC9="x","✓","")</f>
        <v/>
      </c>
      <c r="L55" s="43" t="str">
        <f>IF(Data!BC10="x","✓","")</f>
        <v/>
      </c>
      <c r="M55" s="43" t="str">
        <f>IF(Data!BC11="x","✓","")</f>
        <v/>
      </c>
      <c r="N55" s="43" t="str">
        <f>IF(Data!BC12="x","✓","")</f>
        <v/>
      </c>
      <c r="O55" s="43" t="str">
        <f>IF(Data!BC13="x","✓","")</f>
        <v/>
      </c>
      <c r="P55" s="43" t="str">
        <f>IF(Data!BC14="x","✓","")</f>
        <v/>
      </c>
      <c r="Q55" s="43" t="str">
        <f>IF(Data!BC15="x","✓","")</f>
        <v/>
      </c>
      <c r="R55" s="43" t="str">
        <f>IF(Data!BC16="x","✓","")</f>
        <v/>
      </c>
      <c r="S55" s="43" t="str">
        <f>IF(Data!BC17="x","✓","")</f>
        <v/>
      </c>
      <c r="T55" s="43" t="str">
        <f>IF(Data!BC18="x","✓","")</f>
        <v/>
      </c>
      <c r="U55" s="44" t="str">
        <f>IF(Data!BC19="x","✓","")</f>
        <v>✓</v>
      </c>
      <c r="V55" s="43" t="str">
        <f>IF(Data!BC20="x","✓","")</f>
        <v/>
      </c>
      <c r="W55" s="43" t="str">
        <f>IF(Data!BC21="x","✓","")</f>
        <v/>
      </c>
      <c r="X55" s="43" t="str">
        <f>IF(Data!BC22="x","✓","")</f>
        <v/>
      </c>
      <c r="Y55" s="43" t="str">
        <f>IF(Data!BC23="x","✓","")</f>
        <v/>
      </c>
      <c r="Z55" s="43" t="str">
        <f>IF(Data!BC24="x","✓","")</f>
        <v/>
      </c>
      <c r="AA55" s="43" t="str">
        <f>IF(Data!BC25="x","✓","")</f>
        <v/>
      </c>
      <c r="AB55" s="43" t="str">
        <f>IF(Data!BC26="x","✓","")</f>
        <v/>
      </c>
      <c r="AC55" s="43" t="str">
        <f>IF(Data!BC27="x","✓","")</f>
        <v/>
      </c>
      <c r="AD55" s="43" t="str">
        <f>IF(Data!BC28="x","✓","")</f>
        <v/>
      </c>
      <c r="AE55" s="44" t="str">
        <f>IF(Data!BC29="x","✓","")</f>
        <v>✓</v>
      </c>
      <c r="AF55" s="43" t="str">
        <f>IF(Data!BC30="x","✓","")</f>
        <v/>
      </c>
      <c r="AG55" s="43" t="str">
        <f>IF(Data!BC31="x","✓","")</f>
        <v/>
      </c>
      <c r="AH55" s="43" t="str">
        <f>IF(Data!BC32="x","✓","")</f>
        <v/>
      </c>
      <c r="AI55" s="43" t="str">
        <f>IF(Data!BC33="x","✓","")</f>
        <v/>
      </c>
      <c r="AJ55" s="43" t="str">
        <f>IF(Data!BC34="x","✓","")</f>
        <v/>
      </c>
      <c r="AK55" s="43" t="str">
        <f>IF(Data!BC35="x","✓","")</f>
        <v/>
      </c>
      <c r="AL55" s="47" t="str">
        <f>IF(Data!BC36="x","✓","")</f>
        <v>✓</v>
      </c>
      <c r="AM55" s="43" t="str">
        <f>IF(Data!BC37="x","✓","")</f>
        <v/>
      </c>
      <c r="AN55" s="47" t="str">
        <f>IF(Data!BC38="x","✓","")</f>
        <v>✓</v>
      </c>
      <c r="AO55" s="44" t="str">
        <f>IF(Data!BC39="x","✓","")</f>
        <v>✓</v>
      </c>
      <c r="AP55" s="43" t="str">
        <f>IF(Data!BC40="x","✓","")</f>
        <v/>
      </c>
      <c r="AQ55" s="43" t="str">
        <f>IF(Data!BC41="x","✓","")</f>
        <v/>
      </c>
      <c r="AR55" s="43" t="str">
        <f>IF(Data!BC42="x","✓","")</f>
        <v>✓</v>
      </c>
      <c r="AS55" s="43" t="str">
        <f>IF(Data!BC43="x","✓","")</f>
        <v/>
      </c>
      <c r="AT55" s="43" t="str">
        <f>IF(Data!BC44="x","✓","")</f>
        <v/>
      </c>
      <c r="AU55" s="43" t="str">
        <f>IF(Data!BC45="x","✓","")</f>
        <v/>
      </c>
      <c r="AV55" s="43" t="str">
        <f>IF(Data!BC46="x","✓","")</f>
        <v/>
      </c>
      <c r="AW55" s="43" t="str">
        <f>IF(Data!BC47="x","✓","")</f>
        <v/>
      </c>
      <c r="AX55" s="43" t="str">
        <f>IF(Data!BC48="x","✓","")</f>
        <v/>
      </c>
      <c r="AY55" s="43" t="str">
        <f>IF(Data!BC49="x","✓","")</f>
        <v/>
      </c>
      <c r="AZ55" s="43" t="str">
        <f>IF(Data!BC50="x","✓","")</f>
        <v/>
      </c>
      <c r="BA55" s="43" t="str">
        <f>IF(Data!BC51="x","✓","")</f>
        <v/>
      </c>
      <c r="BB55" s="43" t="str">
        <f>IF(Data!BC52="x","✓","")</f>
        <v/>
      </c>
      <c r="BC55" s="43" t="str">
        <f>IF(Data!BC53="x","✓","")</f>
        <v/>
      </c>
      <c r="BD55" s="43" t="str">
        <f>IF(Data!BC54="x","✓","")</f>
        <v/>
      </c>
      <c r="BE55" s="43" t="str">
        <f>IF(Data!BC55="x","✓","")</f>
        <v/>
      </c>
      <c r="BF55" s="43" t="str">
        <f>IF(Data!BC56="x","✓","")</f>
        <v/>
      </c>
      <c r="BG55" s="43" t="str">
        <f>IF(Data!BC57="x","✓","")</f>
        <v/>
      </c>
      <c r="BH55" s="43" t="str">
        <f>IF(Data!BC58="x","✓","")</f>
        <v/>
      </c>
      <c r="BI55" s="43" t="str">
        <f>IF(Data!BC59="x","✓","")</f>
        <v/>
      </c>
      <c r="BJ55" s="43" t="str">
        <f>IF(Data!BC60="x","✓","")</f>
        <v/>
      </c>
      <c r="BK55" s="43" t="str">
        <f>IF(Data!BC61="x","✓","")</f>
        <v/>
      </c>
    </row>
    <row r="56" spans="2:63" ht="15.75" customHeight="1">
      <c r="B56" s="45" t="s">
        <v>54</v>
      </c>
      <c r="C56" s="49">
        <f>COUNTIF(Data!BD2:BD61,"x")</f>
        <v>12</v>
      </c>
      <c r="D56" s="47" t="str">
        <f>IF(Data!BD2="x","✓","")</f>
        <v>✓</v>
      </c>
      <c r="E56" s="44" t="str">
        <f>IF(Data!BD3="x","✓","")</f>
        <v>✓</v>
      </c>
      <c r="F56" s="47" t="str">
        <f>IF(Data!BD4="x","✓","")</f>
        <v>✓</v>
      </c>
      <c r="G56" s="46" t="str">
        <f>IF(Data!BD5="x","✓","")</f>
        <v/>
      </c>
      <c r="H56" s="46" t="str">
        <f>IF(Data!BD6="x","✓","")</f>
        <v/>
      </c>
      <c r="I56" s="46" t="str">
        <f>IF(Data!BD7="x","✓","")</f>
        <v/>
      </c>
      <c r="J56" s="46" t="str">
        <f>IF(Data!BD8="x","✓","")</f>
        <v/>
      </c>
      <c r="K56" s="46" t="str">
        <f>IF(Data!BD9="x","✓","")</f>
        <v/>
      </c>
      <c r="L56" s="46" t="str">
        <f>IF(Data!BD10="x","✓","")</f>
        <v/>
      </c>
      <c r="M56" s="46" t="str">
        <f>IF(Data!BD11="x","✓","")</f>
        <v/>
      </c>
      <c r="N56" s="46" t="str">
        <f>IF(Data!BD12="x","✓","")</f>
        <v/>
      </c>
      <c r="O56" s="46" t="str">
        <f>IF(Data!BD13="x","✓","")</f>
        <v/>
      </c>
      <c r="P56" s="46" t="str">
        <f>IF(Data!BD14="x","✓","")</f>
        <v/>
      </c>
      <c r="Q56" s="46" t="str">
        <f>IF(Data!BD15="x","✓","")</f>
        <v/>
      </c>
      <c r="R56" s="47" t="str">
        <f>IF(Data!BD16="x","✓","")</f>
        <v>✓</v>
      </c>
      <c r="S56" s="46" t="str">
        <f>IF(Data!BD17="x","✓","")</f>
        <v/>
      </c>
      <c r="T56" s="46" t="str">
        <f>IF(Data!BD18="x","✓","")</f>
        <v/>
      </c>
      <c r="U56" s="46" t="str">
        <f>IF(Data!BD19="x","✓","")</f>
        <v/>
      </c>
      <c r="V56" s="46" t="str">
        <f>IF(Data!BD20="x","✓","")</f>
        <v/>
      </c>
      <c r="W56" s="44" t="str">
        <f>IF(Data!BD21="x","✓","")</f>
        <v>✓</v>
      </c>
      <c r="X56" s="46" t="str">
        <f>IF(Data!BD22="x","✓","")</f>
        <v/>
      </c>
      <c r="Y56" s="44" t="str">
        <f>IF(Data!BD23="x","✓","")</f>
        <v/>
      </c>
      <c r="Z56" s="46" t="str">
        <f>IF(Data!BD24="x","✓","")</f>
        <v/>
      </c>
      <c r="AA56" s="44" t="str">
        <f>IF(Data!BD25="x","✓","")</f>
        <v>✓</v>
      </c>
      <c r="AB56" s="47" t="str">
        <f>IF(Data!BD26="x","✓","")</f>
        <v>✓</v>
      </c>
      <c r="AC56" s="46" t="str">
        <f>IF(Data!BD27="x","✓","")</f>
        <v/>
      </c>
      <c r="AD56" s="47" t="str">
        <f>IF(Data!BD28="x","✓","")</f>
        <v>✓</v>
      </c>
      <c r="AE56" s="46" t="str">
        <f>IF(Data!BD29="x","✓","")</f>
        <v/>
      </c>
      <c r="AF56" s="46" t="str">
        <f>IF(Data!BD30="x","✓","")</f>
        <v/>
      </c>
      <c r="AG56" s="44" t="str">
        <f>IF(Data!BD31="x","✓","")</f>
        <v>✓</v>
      </c>
      <c r="AH56" s="46" t="str">
        <f>IF(Data!BD32="x","✓","")</f>
        <v/>
      </c>
      <c r="AI56" s="46" t="str">
        <f>IF(Data!BD33="x","✓","")</f>
        <v/>
      </c>
      <c r="AJ56" s="46" t="str">
        <f>IF(Data!BD34="x","✓","")</f>
        <v/>
      </c>
      <c r="AK56" s="46" t="str">
        <f>IF(Data!BD35="x","✓","")</f>
        <v/>
      </c>
      <c r="AL56" s="46" t="str">
        <f>IF(Data!BD36="x","✓","")</f>
        <v/>
      </c>
      <c r="AM56" s="44" t="str">
        <f>IF(Data!BD37="x","✓","")</f>
        <v>✓</v>
      </c>
      <c r="AN56" s="46" t="str">
        <f>IF(Data!BD38="x","✓","")</f>
        <v/>
      </c>
      <c r="AO56" s="46" t="str">
        <f>IF(Data!BD39="x","✓","")</f>
        <v/>
      </c>
      <c r="AP56" s="47" t="str">
        <f>IF(Data!BD40="x","✓","")</f>
        <v>✓</v>
      </c>
      <c r="AQ56" s="46" t="str">
        <f>IF(Data!BD41="x","✓","")</f>
        <v/>
      </c>
      <c r="AR56" s="46" t="str">
        <f>IF(Data!BD42="x","✓","")</f>
        <v>✓</v>
      </c>
      <c r="AS56" s="46" t="str">
        <f>IF(Data!BD43="x","✓","")</f>
        <v/>
      </c>
      <c r="AT56" s="46" t="str">
        <f>IF(Data!BD44="x","✓","")</f>
        <v/>
      </c>
      <c r="AU56" s="46" t="str">
        <f>IF(Data!BD45="x","✓","")</f>
        <v/>
      </c>
      <c r="AV56" s="46" t="str">
        <f>IF(Data!BD46="x","✓","")</f>
        <v/>
      </c>
      <c r="AW56" s="46" t="str">
        <f>IF(Data!BD47="x","✓","")</f>
        <v/>
      </c>
      <c r="AX56" s="46" t="str">
        <f>IF(Data!BD48="x","✓","")</f>
        <v/>
      </c>
      <c r="AY56" s="46" t="str">
        <f>IF(Data!BD49="x","✓","")</f>
        <v/>
      </c>
      <c r="AZ56" s="46" t="str">
        <f>IF(Data!BD50="x","✓","")</f>
        <v/>
      </c>
      <c r="BA56" s="46" t="str">
        <f>IF(Data!BD51="x","✓","")</f>
        <v/>
      </c>
      <c r="BB56" s="46" t="str">
        <f>IF(Data!BD52="x","✓","")</f>
        <v/>
      </c>
      <c r="BC56" s="46" t="str">
        <f>IF(Data!BD53="x","✓","")</f>
        <v/>
      </c>
      <c r="BD56" s="46" t="str">
        <f>IF(Data!BD54="x","✓","")</f>
        <v/>
      </c>
      <c r="BE56" s="46" t="str">
        <f>IF(Data!BD55="x","✓","")</f>
        <v/>
      </c>
      <c r="BF56" s="46" t="str">
        <f>IF(Data!BD56="x","✓","")</f>
        <v/>
      </c>
      <c r="BG56" s="46" t="str">
        <f>IF(Data!BD57="x","✓","")</f>
        <v/>
      </c>
      <c r="BH56" s="46" t="str">
        <f>IF(Data!BD58="x","✓","")</f>
        <v/>
      </c>
      <c r="BI56" s="46" t="str">
        <f>IF(Data!BD59="x","✓","")</f>
        <v/>
      </c>
      <c r="BJ56" s="46" t="str">
        <f>IF(Data!BD60="x","✓","")</f>
        <v/>
      </c>
      <c r="BK56" s="46" t="str">
        <f>IF(Data!BD61="x","✓","")</f>
        <v/>
      </c>
    </row>
    <row r="57" spans="2:63" ht="15.75" customHeight="1">
      <c r="B57" s="41" t="s">
        <v>55</v>
      </c>
      <c r="C57" s="49">
        <f>COUNTIF(Data!BE2:BE61,"x")</f>
        <v>11</v>
      </c>
      <c r="D57" s="47" t="str">
        <f>IF(Data!BE2="x","✓","")</f>
        <v>✓</v>
      </c>
      <c r="E57" s="44" t="str">
        <f>IF(Data!BE3="x","✓","")</f>
        <v>✓</v>
      </c>
      <c r="F57" s="43" t="str">
        <f>IF(Data!BE4="x","✓","")</f>
        <v/>
      </c>
      <c r="G57" s="43" t="str">
        <f>IF(Data!BE5="x","✓","")</f>
        <v/>
      </c>
      <c r="H57" s="43" t="str">
        <f>IF(Data!BE6="x","✓","")</f>
        <v/>
      </c>
      <c r="I57" s="43" t="str">
        <f>IF(Data!BE7="x","✓","")</f>
        <v/>
      </c>
      <c r="J57" s="43" t="str">
        <f>IF(Data!BE8="x","✓","")</f>
        <v/>
      </c>
      <c r="K57" s="43" t="str">
        <f>IF(Data!BE9="x","✓","")</f>
        <v/>
      </c>
      <c r="L57" s="43" t="str">
        <f>IF(Data!BE10="x","✓","")</f>
        <v/>
      </c>
      <c r="M57" s="43" t="str">
        <f>IF(Data!BE11="x","✓","")</f>
        <v/>
      </c>
      <c r="N57" s="43" t="str">
        <f>IF(Data!BE12="x","✓","")</f>
        <v/>
      </c>
      <c r="O57" s="43" t="str">
        <f>IF(Data!BE13="x","✓","")</f>
        <v/>
      </c>
      <c r="P57" s="43" t="str">
        <f>IF(Data!BE14="x","✓","")</f>
        <v/>
      </c>
      <c r="Q57" s="43" t="str">
        <f>IF(Data!BE15="x","✓","")</f>
        <v/>
      </c>
      <c r="R57" s="43" t="str">
        <f>IF(Data!BE16="x","✓","")</f>
        <v/>
      </c>
      <c r="S57" s="43" t="str">
        <f>IF(Data!BE17="x","✓","")</f>
        <v/>
      </c>
      <c r="T57" s="43" t="str">
        <f>IF(Data!BE18="x","✓","")</f>
        <v/>
      </c>
      <c r="U57" s="43" t="str">
        <f>IF(Data!BE19="x","✓","")</f>
        <v/>
      </c>
      <c r="V57" s="47" t="str">
        <f>IF(Data!BE20="x","✓","")</f>
        <v>✓</v>
      </c>
      <c r="W57" s="44" t="str">
        <f>IF(Data!BE21="x","✓","")</f>
        <v>✓</v>
      </c>
      <c r="X57" s="43" t="str">
        <f>IF(Data!BE22="x","✓","")</f>
        <v/>
      </c>
      <c r="Y57" s="44" t="str">
        <f>IF(Data!BE23="x","✓","")</f>
        <v/>
      </c>
      <c r="Z57" s="43" t="str">
        <f>IF(Data!BE24="x","✓","")</f>
        <v/>
      </c>
      <c r="AA57" s="44" t="str">
        <f>IF(Data!BE25="x","✓","")</f>
        <v>✓</v>
      </c>
      <c r="AB57" s="47" t="str">
        <f>IF(Data!BE26="x","✓","")</f>
        <v>✓</v>
      </c>
      <c r="AC57" s="44" t="str">
        <f>IF(Data!BE27="x","✓","")</f>
        <v>✓</v>
      </c>
      <c r="AD57" s="43" t="str">
        <f>IF(Data!BE28="x","✓","")</f>
        <v/>
      </c>
      <c r="AE57" s="43" t="str">
        <f>IF(Data!BE29="x","✓","")</f>
        <v/>
      </c>
      <c r="AF57" s="43" t="str">
        <f>IF(Data!BE30="x","✓","")</f>
        <v/>
      </c>
      <c r="AG57" s="43" t="str">
        <f>IF(Data!BE31="x","✓","")</f>
        <v/>
      </c>
      <c r="AH57" s="43" t="str">
        <f>IF(Data!BE32="x","✓","")</f>
        <v/>
      </c>
      <c r="AI57" s="44" t="str">
        <f>IF(Data!BE33="x","✓","")</f>
        <v>✓</v>
      </c>
      <c r="AJ57" s="43" t="str">
        <f>IF(Data!BE34="x","✓","")</f>
        <v/>
      </c>
      <c r="AK57" s="43" t="str">
        <f>IF(Data!BE35="x","✓","")</f>
        <v/>
      </c>
      <c r="AL57" s="43" t="str">
        <f>IF(Data!BE36="x","✓","")</f>
        <v/>
      </c>
      <c r="AM57" s="44" t="str">
        <f>IF(Data!BE37="x","✓","")</f>
        <v>✓</v>
      </c>
      <c r="AN57" s="43" t="str">
        <f>IF(Data!BE38="x","✓","")</f>
        <v/>
      </c>
      <c r="AO57" s="43" t="str">
        <f>IF(Data!BE39="x","✓","")</f>
        <v/>
      </c>
      <c r="AP57" s="43" t="str">
        <f>IF(Data!BE40="x","✓","")</f>
        <v/>
      </c>
      <c r="AQ57" s="44" t="str">
        <f>IF(Data!BE41="x","✓","")</f>
        <v>✓</v>
      </c>
      <c r="AR57" s="43" t="str">
        <f>IF(Data!BE42="x","✓","")</f>
        <v>✓</v>
      </c>
      <c r="AS57" s="43" t="str">
        <f>IF(Data!BE43="x","✓","")</f>
        <v/>
      </c>
      <c r="AT57" s="43" t="str">
        <f>IF(Data!BE44="x","✓","")</f>
        <v/>
      </c>
      <c r="AU57" s="43" t="str">
        <f>IF(Data!BE45="x","✓","")</f>
        <v/>
      </c>
      <c r="AV57" s="43" t="str">
        <f>IF(Data!BE46="x","✓","")</f>
        <v/>
      </c>
      <c r="AW57" s="43" t="str">
        <f>IF(Data!BE47="x","✓","")</f>
        <v/>
      </c>
      <c r="AX57" s="43" t="str">
        <f>IF(Data!BE48="x","✓","")</f>
        <v/>
      </c>
      <c r="AY57" s="43" t="str">
        <f>IF(Data!BE49="x","✓","")</f>
        <v/>
      </c>
      <c r="AZ57" s="43" t="str">
        <f>IF(Data!BE50="x","✓","")</f>
        <v/>
      </c>
      <c r="BA57" s="43" t="str">
        <f>IF(Data!BE51="x","✓","")</f>
        <v/>
      </c>
      <c r="BB57" s="43" t="str">
        <f>IF(Data!BE52="x","✓","")</f>
        <v/>
      </c>
      <c r="BC57" s="43" t="str">
        <f>IF(Data!BE53="x","✓","")</f>
        <v/>
      </c>
      <c r="BD57" s="43" t="str">
        <f>IF(Data!BE54="x","✓","")</f>
        <v/>
      </c>
      <c r="BE57" s="43" t="str">
        <f>IF(Data!BE55="x","✓","")</f>
        <v/>
      </c>
      <c r="BF57" s="43" t="str">
        <f>IF(Data!BE56="x","✓","")</f>
        <v/>
      </c>
      <c r="BG57" s="43" t="str">
        <f>IF(Data!BE57="x","✓","")</f>
        <v/>
      </c>
      <c r="BH57" s="43" t="str">
        <f>IF(Data!BE58="x","✓","")</f>
        <v/>
      </c>
      <c r="BI57" s="43" t="str">
        <f>IF(Data!BE59="x","✓","")</f>
        <v/>
      </c>
      <c r="BJ57" s="43" t="str">
        <f>IF(Data!BE60="x","✓","")</f>
        <v/>
      </c>
      <c r="BK57" s="43" t="str">
        <f>IF(Data!BE61="x","✓","")</f>
        <v/>
      </c>
    </row>
    <row r="58" spans="2:63" ht="15.75" customHeight="1">
      <c r="B58" s="45" t="s">
        <v>56</v>
      </c>
      <c r="C58" s="49">
        <f>COUNTIF(Data!BF2:BF61,"x")</f>
        <v>12</v>
      </c>
      <c r="D58" s="47" t="str">
        <f>IF(Data!BF2="x","✓","")</f>
        <v>✓</v>
      </c>
      <c r="E58" s="44" t="str">
        <f>IF(Data!BF3="x","✓","")</f>
        <v>✓</v>
      </c>
      <c r="F58" s="46" t="str">
        <f>IF(Data!BF4="x","✓","")</f>
        <v/>
      </c>
      <c r="G58" s="46" t="str">
        <f>IF(Data!BF5="x","✓","")</f>
        <v/>
      </c>
      <c r="H58" s="47" t="str">
        <f>IF(Data!BF6="x","✓","")</f>
        <v>✓</v>
      </c>
      <c r="I58" s="46" t="str">
        <f>IF(Data!BF7="x","✓","")</f>
        <v/>
      </c>
      <c r="J58" s="46" t="str">
        <f>IF(Data!BF8="x","✓","")</f>
        <v/>
      </c>
      <c r="K58" s="46" t="str">
        <f>IF(Data!BF9="x","✓","")</f>
        <v/>
      </c>
      <c r="L58" s="46" t="str">
        <f>IF(Data!BF10="x","✓","")</f>
        <v/>
      </c>
      <c r="M58" s="46" t="str">
        <f>IF(Data!BF11="x","✓","")</f>
        <v/>
      </c>
      <c r="N58" s="47" t="str">
        <f>IF(Data!BF12="x","✓","")</f>
        <v>✓</v>
      </c>
      <c r="O58" s="46" t="str">
        <f>IF(Data!BF13="x","✓","")</f>
        <v/>
      </c>
      <c r="P58" s="46" t="str">
        <f>IF(Data!BF14="x","✓","")</f>
        <v/>
      </c>
      <c r="Q58" s="46" t="str">
        <f>IF(Data!BF15="x","✓","")</f>
        <v/>
      </c>
      <c r="R58" s="46" t="str">
        <f>IF(Data!BF16="x","✓","")</f>
        <v/>
      </c>
      <c r="S58" s="46" t="str">
        <f>IF(Data!BF17="x","✓","")</f>
        <v/>
      </c>
      <c r="T58" s="46" t="str">
        <f>IF(Data!BF18="x","✓","")</f>
        <v/>
      </c>
      <c r="U58" s="46" t="str">
        <f>IF(Data!BF19="x","✓","")</f>
        <v/>
      </c>
      <c r="V58" s="47" t="str">
        <f>IF(Data!BF20="x","✓","")</f>
        <v>✓</v>
      </c>
      <c r="W58" s="44" t="str">
        <f>IF(Data!BF21="x","✓","")</f>
        <v>✓</v>
      </c>
      <c r="X58" s="46" t="str">
        <f>IF(Data!BF22="x","✓","")</f>
        <v/>
      </c>
      <c r="Y58" s="44" t="str">
        <f>IF(Data!BF23="x","✓","")</f>
        <v/>
      </c>
      <c r="Z58" s="46" t="str">
        <f>IF(Data!BF24="x","✓","")</f>
        <v/>
      </c>
      <c r="AA58" s="44" t="str">
        <f>IF(Data!BF25="x","✓","")</f>
        <v>✓</v>
      </c>
      <c r="AB58" s="47" t="str">
        <f>IF(Data!BF26="x","✓","")</f>
        <v>✓</v>
      </c>
      <c r="AC58" s="46" t="str">
        <f>IF(Data!BF27="x","✓","")</f>
        <v/>
      </c>
      <c r="AD58" s="47" t="str">
        <f>IF(Data!BF28="x","✓","")</f>
        <v>✓</v>
      </c>
      <c r="AE58" s="46" t="str">
        <f>IF(Data!BF29="x","✓","")</f>
        <v/>
      </c>
      <c r="AF58" s="46" t="str">
        <f>IF(Data!BF30="x","✓","")</f>
        <v/>
      </c>
      <c r="AG58" s="46" t="str">
        <f>IF(Data!BF31="x","✓","")</f>
        <v/>
      </c>
      <c r="AH58" s="46" t="str">
        <f>IF(Data!BF32="x","✓","")</f>
        <v/>
      </c>
      <c r="AI58" s="46" t="str">
        <f>IF(Data!BF33="x","✓","")</f>
        <v/>
      </c>
      <c r="AJ58" s="46" t="str">
        <f>IF(Data!BF34="x","✓","")</f>
        <v/>
      </c>
      <c r="AK58" s="46" t="str">
        <f>IF(Data!BF35="x","✓","")</f>
        <v/>
      </c>
      <c r="AL58" s="46" t="str">
        <f>IF(Data!BF36="x","✓","")</f>
        <v/>
      </c>
      <c r="AM58" s="44" t="str">
        <f>IF(Data!BF37="x","✓","")</f>
        <v>✓</v>
      </c>
      <c r="AN58" s="46" t="str">
        <f>IF(Data!BF38="x","✓","")</f>
        <v/>
      </c>
      <c r="AO58" s="46" t="str">
        <f>IF(Data!BF39="x","✓","")</f>
        <v/>
      </c>
      <c r="AP58" s="46" t="str">
        <f>IF(Data!BF40="x","✓","")</f>
        <v/>
      </c>
      <c r="AQ58" s="44" t="str">
        <f>IF(Data!BF41="x","✓","")</f>
        <v>✓</v>
      </c>
      <c r="AR58" s="46" t="str">
        <f>IF(Data!BF42="x","✓","")</f>
        <v>✓</v>
      </c>
      <c r="AS58" s="46" t="str">
        <f>IF(Data!BF43="x","✓","")</f>
        <v/>
      </c>
      <c r="AT58" s="46" t="str">
        <f>IF(Data!BF44="x","✓","")</f>
        <v/>
      </c>
      <c r="AU58" s="46" t="str">
        <f>IF(Data!BF45="x","✓","")</f>
        <v/>
      </c>
      <c r="AV58" s="46" t="str">
        <f>IF(Data!BF46="x","✓","")</f>
        <v/>
      </c>
      <c r="AW58" s="46" t="str">
        <f>IF(Data!BF47="x","✓","")</f>
        <v/>
      </c>
      <c r="AX58" s="46" t="str">
        <f>IF(Data!BF48="x","✓","")</f>
        <v/>
      </c>
      <c r="AY58" s="46" t="str">
        <f>IF(Data!BF49="x","✓","")</f>
        <v/>
      </c>
      <c r="AZ58" s="46" t="str">
        <f>IF(Data!BF50="x","✓","")</f>
        <v/>
      </c>
      <c r="BA58" s="46" t="str">
        <f>IF(Data!BF51="x","✓","")</f>
        <v/>
      </c>
      <c r="BB58" s="46" t="str">
        <f>IF(Data!BF52="x","✓","")</f>
        <v/>
      </c>
      <c r="BC58" s="46" t="str">
        <f>IF(Data!BF53="x","✓","")</f>
        <v/>
      </c>
      <c r="BD58" s="46" t="str">
        <f>IF(Data!BF54="x","✓","")</f>
        <v/>
      </c>
      <c r="BE58" s="46" t="str">
        <f>IF(Data!BF55="x","✓","")</f>
        <v/>
      </c>
      <c r="BF58" s="46" t="str">
        <f>IF(Data!BF56="x","✓","")</f>
        <v/>
      </c>
      <c r="BG58" s="46" t="str">
        <f>IF(Data!BF57="x","✓","")</f>
        <v/>
      </c>
      <c r="BH58" s="46" t="str">
        <f>IF(Data!BF58="x","✓","")</f>
        <v/>
      </c>
      <c r="BI58" s="46" t="str">
        <f>IF(Data!BF59="x","✓","")</f>
        <v/>
      </c>
      <c r="BJ58" s="46" t="str">
        <f>IF(Data!BF60="x","✓","")</f>
        <v/>
      </c>
      <c r="BK58" s="46" t="str">
        <f>IF(Data!BF61="x","✓","")</f>
        <v/>
      </c>
    </row>
    <row r="59" spans="2:63" ht="15.75" customHeight="1">
      <c r="B59" s="41" t="s">
        <v>57</v>
      </c>
      <c r="C59" s="42">
        <f>COUNTIF(Data!BG2:BG61,"x")</f>
        <v>6</v>
      </c>
      <c r="D59" s="43" t="str">
        <f>IF(Data!BG2="x","✓","")</f>
        <v/>
      </c>
      <c r="E59" s="43" t="str">
        <f>IF(Data!BG3="x","✓","")</f>
        <v/>
      </c>
      <c r="F59" s="43" t="str">
        <f>IF(Data!BG4="x","✓","")</f>
        <v/>
      </c>
      <c r="G59" s="43" t="str">
        <f>IF(Data!BG5="x","✓","")</f>
        <v/>
      </c>
      <c r="H59" s="43" t="str">
        <f>IF(Data!BG6="x","✓","")</f>
        <v/>
      </c>
      <c r="I59" s="43" t="str">
        <f>IF(Data!BG7="x","✓","")</f>
        <v/>
      </c>
      <c r="J59" s="43" t="str">
        <f>IF(Data!BG8="x","✓","")</f>
        <v/>
      </c>
      <c r="K59" s="43" t="str">
        <f>IF(Data!BG9="x","✓","")</f>
        <v/>
      </c>
      <c r="L59" s="43" t="str">
        <f>IF(Data!BG10="x","✓","")</f>
        <v/>
      </c>
      <c r="M59" s="43" t="str">
        <f>IF(Data!BG11="x","✓","")</f>
        <v/>
      </c>
      <c r="N59" s="43" t="str">
        <f>IF(Data!BG12="x","✓","")</f>
        <v/>
      </c>
      <c r="O59" s="43" t="str">
        <f>IF(Data!BG13="x","✓","")</f>
        <v/>
      </c>
      <c r="P59" s="43" t="str">
        <f>IF(Data!BG14="x","✓","")</f>
        <v/>
      </c>
      <c r="Q59" s="43" t="str">
        <f>IF(Data!BG15="x","✓","")</f>
        <v/>
      </c>
      <c r="R59" s="43" t="str">
        <f>IF(Data!BG16="x","✓","")</f>
        <v/>
      </c>
      <c r="S59" s="43" t="str">
        <f>IF(Data!BG17="x","✓","")</f>
        <v/>
      </c>
      <c r="T59" s="43" t="str">
        <f>IF(Data!BG18="x","✓","")</f>
        <v/>
      </c>
      <c r="U59" s="44" t="str">
        <f>IF(Data!BG19="x","✓","")</f>
        <v>✓</v>
      </c>
      <c r="V59" s="43" t="str">
        <f>IF(Data!BG20="x","✓","")</f>
        <v/>
      </c>
      <c r="W59" s="43" t="str">
        <f>IF(Data!BG21="x","✓","")</f>
        <v/>
      </c>
      <c r="X59" s="43" t="str">
        <f>IF(Data!BG22="x","✓","")</f>
        <v/>
      </c>
      <c r="Y59" s="43" t="str">
        <f>IF(Data!BG23="x","✓","")</f>
        <v/>
      </c>
      <c r="Z59" s="43" t="str">
        <f>IF(Data!BG24="x","✓","")</f>
        <v/>
      </c>
      <c r="AA59" s="43" t="str">
        <f>IF(Data!BG25="x","✓","")</f>
        <v/>
      </c>
      <c r="AB59" s="43" t="str">
        <f>IF(Data!BG26="x","✓","")</f>
        <v/>
      </c>
      <c r="AC59" s="43" t="str">
        <f>IF(Data!BG27="x","✓","")</f>
        <v/>
      </c>
      <c r="AD59" s="43" t="str">
        <f>IF(Data!BG28="x","✓","")</f>
        <v/>
      </c>
      <c r="AE59" s="44" t="str">
        <f>IF(Data!BG29="x","✓","")</f>
        <v>✓</v>
      </c>
      <c r="AF59" s="43" t="str">
        <f>IF(Data!BG30="x","✓","")</f>
        <v/>
      </c>
      <c r="AG59" s="43" t="str">
        <f>IF(Data!BG31="x","✓","")</f>
        <v/>
      </c>
      <c r="AH59" s="43" t="str">
        <f>IF(Data!BG32="x","✓","")</f>
        <v/>
      </c>
      <c r="AI59" s="43" t="str">
        <f>IF(Data!BG33="x","✓","")</f>
        <v/>
      </c>
      <c r="AJ59" s="43" t="str">
        <f>IF(Data!BG34="x","✓","")</f>
        <v/>
      </c>
      <c r="AK59" s="43" t="str">
        <f>IF(Data!BG35="x","✓","")</f>
        <v/>
      </c>
      <c r="AL59" s="47" t="str">
        <f>IF(Data!BG36="x","✓","")</f>
        <v>✓</v>
      </c>
      <c r="AM59" s="43" t="str">
        <f>IF(Data!BG37="x","✓","")</f>
        <v/>
      </c>
      <c r="AN59" s="47" t="str">
        <f>IF(Data!BG38="x","✓","")</f>
        <v>✓</v>
      </c>
      <c r="AO59" s="44" t="str">
        <f>IF(Data!BG39="x","✓","")</f>
        <v>✓</v>
      </c>
      <c r="AP59" s="43" t="str">
        <f>IF(Data!BG40="x","✓","")</f>
        <v/>
      </c>
      <c r="AQ59" s="43" t="str">
        <f>IF(Data!BG41="x","✓","")</f>
        <v/>
      </c>
      <c r="AR59" s="43" t="str">
        <f>IF(Data!BG42="x","✓","")</f>
        <v>✓</v>
      </c>
      <c r="AS59" s="43" t="str">
        <f>IF(Data!BG43="x","✓","")</f>
        <v/>
      </c>
      <c r="AT59" s="43" t="str">
        <f>IF(Data!BG44="x","✓","")</f>
        <v/>
      </c>
      <c r="AU59" s="43" t="str">
        <f>IF(Data!BG45="x","✓","")</f>
        <v/>
      </c>
      <c r="AV59" s="43" t="str">
        <f>IF(Data!BG46="x","✓","")</f>
        <v/>
      </c>
      <c r="AW59" s="43" t="str">
        <f>IF(Data!BG47="x","✓","")</f>
        <v/>
      </c>
      <c r="AX59" s="43" t="str">
        <f>IF(Data!BG48="x","✓","")</f>
        <v/>
      </c>
      <c r="AY59" s="43" t="str">
        <f>IF(Data!BG49="x","✓","")</f>
        <v/>
      </c>
      <c r="AZ59" s="43" t="str">
        <f>IF(Data!BG50="x","✓","")</f>
        <v/>
      </c>
      <c r="BA59" s="43" t="str">
        <f>IF(Data!BG51="x","✓","")</f>
        <v/>
      </c>
      <c r="BB59" s="43" t="str">
        <f>IF(Data!BG52="x","✓","")</f>
        <v/>
      </c>
      <c r="BC59" s="43" t="str">
        <f>IF(Data!BG53="x","✓","")</f>
        <v/>
      </c>
      <c r="BD59" s="43" t="str">
        <f>IF(Data!BG54="x","✓","")</f>
        <v/>
      </c>
      <c r="BE59" s="43" t="str">
        <f>IF(Data!BG55="x","✓","")</f>
        <v/>
      </c>
      <c r="BF59" s="43" t="str">
        <f>IF(Data!BG56="x","✓","")</f>
        <v/>
      </c>
      <c r="BG59" s="43" t="str">
        <f>IF(Data!BG57="x","✓","")</f>
        <v/>
      </c>
      <c r="BH59" s="43" t="str">
        <f>IF(Data!BG58="x","✓","")</f>
        <v/>
      </c>
      <c r="BI59" s="43" t="str">
        <f>IF(Data!BG59="x","✓","")</f>
        <v/>
      </c>
      <c r="BJ59" s="43" t="str">
        <f>IF(Data!BG60="x","✓","")</f>
        <v/>
      </c>
      <c r="BK59" s="43" t="str">
        <f>IF(Data!BG61="x","✓","")</f>
        <v/>
      </c>
    </row>
    <row r="60" spans="2:63" ht="15.75" customHeight="1">
      <c r="B60" s="45" t="s">
        <v>58</v>
      </c>
      <c r="C60" s="49">
        <f>COUNTIF(Data!BH2:BH61,"x")</f>
        <v>10</v>
      </c>
      <c r="D60" s="47" t="str">
        <f>IF(Data!BH2="x","✓","")</f>
        <v>✓</v>
      </c>
      <c r="E60" s="44" t="str">
        <f>IF(Data!BH3="x","✓","")</f>
        <v>✓</v>
      </c>
      <c r="F60" s="46" t="str">
        <f>IF(Data!BH4="x","✓","")</f>
        <v/>
      </c>
      <c r="G60" s="46" t="str">
        <f>IF(Data!BH5="x","✓","")</f>
        <v/>
      </c>
      <c r="H60" s="46" t="str">
        <f>IF(Data!BH6="x","✓","")</f>
        <v/>
      </c>
      <c r="I60" s="46" t="str">
        <f>IF(Data!BH7="x","✓","")</f>
        <v/>
      </c>
      <c r="J60" s="46" t="str">
        <f>IF(Data!BH8="x","✓","")</f>
        <v/>
      </c>
      <c r="K60" s="46" t="str">
        <f>IF(Data!BH9="x","✓","")</f>
        <v/>
      </c>
      <c r="L60" s="46" t="str">
        <f>IF(Data!BH10="x","✓","")</f>
        <v/>
      </c>
      <c r="M60" s="46" t="str">
        <f>IF(Data!BH11="x","✓","")</f>
        <v/>
      </c>
      <c r="N60" s="46" t="str">
        <f>IF(Data!BH12="x","✓","")</f>
        <v/>
      </c>
      <c r="O60" s="46" t="str">
        <f>IF(Data!BH13="x","✓","")</f>
        <v/>
      </c>
      <c r="P60" s="46" t="str">
        <f>IF(Data!BH14="x","✓","")</f>
        <v/>
      </c>
      <c r="Q60" s="46" t="str">
        <f>IF(Data!BH15="x","✓","")</f>
        <v/>
      </c>
      <c r="R60" s="46" t="str">
        <f>IF(Data!BH16="x","✓","")</f>
        <v/>
      </c>
      <c r="S60" s="46" t="str">
        <f>IF(Data!BH17="x","✓","")</f>
        <v/>
      </c>
      <c r="T60" s="46" t="str">
        <f>IF(Data!BH18="x","✓","")</f>
        <v/>
      </c>
      <c r="U60" s="46" t="str">
        <f>IF(Data!BH19="x","✓","")</f>
        <v/>
      </c>
      <c r="V60" s="47" t="str">
        <f>IF(Data!BH20="x","✓","")</f>
        <v>✓</v>
      </c>
      <c r="W60" s="44" t="str">
        <f>IF(Data!BH21="x","✓","")</f>
        <v>✓</v>
      </c>
      <c r="X60" s="46" t="str">
        <f>IF(Data!BH22="x","✓","")</f>
        <v/>
      </c>
      <c r="Y60" s="44" t="str">
        <f>IF(Data!BH23="x","✓","")</f>
        <v/>
      </c>
      <c r="Z60" s="46" t="str">
        <f>IF(Data!BH24="x","✓","")</f>
        <v/>
      </c>
      <c r="AA60" s="44" t="str">
        <f>IF(Data!BH25="x","✓","")</f>
        <v>✓</v>
      </c>
      <c r="AB60" s="47" t="str">
        <f>IF(Data!BH26="x","✓","")</f>
        <v>✓</v>
      </c>
      <c r="AC60" s="44" t="str">
        <f>IF(Data!BH27="x","✓","")</f>
        <v>✓</v>
      </c>
      <c r="AD60" s="46" t="str">
        <f>IF(Data!BH28="x","✓","")</f>
        <v/>
      </c>
      <c r="AE60" s="46" t="str">
        <f>IF(Data!BH29="x","✓","")</f>
        <v/>
      </c>
      <c r="AF60" s="46" t="str">
        <f>IF(Data!BH30="x","✓","")</f>
        <v/>
      </c>
      <c r="AG60" s="46" t="str">
        <f>IF(Data!BH31="x","✓","")</f>
        <v/>
      </c>
      <c r="AH60" s="46" t="str">
        <f>IF(Data!BH32="x","✓","")</f>
        <v/>
      </c>
      <c r="AI60" s="46" t="str">
        <f>IF(Data!BH33="x","✓","")</f>
        <v/>
      </c>
      <c r="AJ60" s="46" t="str">
        <f>IF(Data!BH34="x","✓","")</f>
        <v/>
      </c>
      <c r="AK60" s="46" t="str">
        <f>IF(Data!BH35="x","✓","")</f>
        <v/>
      </c>
      <c r="AL60" s="46" t="str">
        <f>IF(Data!BH36="x","✓","")</f>
        <v/>
      </c>
      <c r="AM60" s="44" t="str">
        <f>IF(Data!BH37="x","✓","")</f>
        <v>✓</v>
      </c>
      <c r="AN60" s="46" t="str">
        <f>IF(Data!BH38="x","✓","")</f>
        <v/>
      </c>
      <c r="AO60" s="46" t="str">
        <f>IF(Data!BH39="x","✓","")</f>
        <v/>
      </c>
      <c r="AP60" s="46" t="str">
        <f>IF(Data!BH40="x","✓","")</f>
        <v/>
      </c>
      <c r="AQ60" s="44" t="str">
        <f>IF(Data!BH41="x","✓","")</f>
        <v>✓</v>
      </c>
      <c r="AR60" s="46" t="str">
        <f>IF(Data!BH42="x","✓","")</f>
        <v>✓</v>
      </c>
      <c r="AS60" s="46" t="str">
        <f>IF(Data!BH43="x","✓","")</f>
        <v/>
      </c>
      <c r="AT60" s="46" t="str">
        <f>IF(Data!BH44="x","✓","")</f>
        <v/>
      </c>
      <c r="AU60" s="46" t="str">
        <f>IF(Data!BH45="x","✓","")</f>
        <v/>
      </c>
      <c r="AV60" s="46" t="str">
        <f>IF(Data!BH46="x","✓","")</f>
        <v/>
      </c>
      <c r="AW60" s="46" t="str">
        <f>IF(Data!BH47="x","✓","")</f>
        <v/>
      </c>
      <c r="AX60" s="46" t="str">
        <f>IF(Data!BH48="x","✓","")</f>
        <v/>
      </c>
      <c r="AY60" s="46" t="str">
        <f>IF(Data!BH49="x","✓","")</f>
        <v/>
      </c>
      <c r="AZ60" s="46" t="str">
        <f>IF(Data!BH50="x","✓","")</f>
        <v/>
      </c>
      <c r="BA60" s="46" t="str">
        <f>IF(Data!BH51="x","✓","")</f>
        <v/>
      </c>
      <c r="BB60" s="46" t="str">
        <f>IF(Data!BH52="x","✓","")</f>
        <v/>
      </c>
      <c r="BC60" s="46" t="str">
        <f>IF(Data!BH53="x","✓","")</f>
        <v/>
      </c>
      <c r="BD60" s="46" t="str">
        <f>IF(Data!BH54="x","✓","")</f>
        <v/>
      </c>
      <c r="BE60" s="46" t="str">
        <f>IF(Data!BH55="x","✓","")</f>
        <v/>
      </c>
      <c r="BF60" s="46" t="str">
        <f>IF(Data!BH56="x","✓","")</f>
        <v/>
      </c>
      <c r="BG60" s="46" t="str">
        <f>IF(Data!BH57="x","✓","")</f>
        <v/>
      </c>
      <c r="BH60" s="46" t="str">
        <f>IF(Data!BH58="x","✓","")</f>
        <v/>
      </c>
      <c r="BI60" s="46" t="str">
        <f>IF(Data!BH59="x","✓","")</f>
        <v/>
      </c>
      <c r="BJ60" s="46" t="str">
        <f>IF(Data!BH60="x","✓","")</f>
        <v/>
      </c>
      <c r="BK60" s="46" t="str">
        <f>IF(Data!BH61="x","✓","")</f>
        <v/>
      </c>
    </row>
    <row r="61" spans="2:63" ht="15.75" customHeight="1">
      <c r="B61" s="41" t="s">
        <v>59</v>
      </c>
      <c r="C61" s="42">
        <f>COUNTIF(Data!BI2:BI61,"x")</f>
        <v>5</v>
      </c>
      <c r="D61" s="43" t="str">
        <f>IF(Data!BI2="x","✓","")</f>
        <v/>
      </c>
      <c r="E61" s="43" t="str">
        <f>IF(Data!BI3="x","✓","")</f>
        <v/>
      </c>
      <c r="F61" s="43" t="str">
        <f>IF(Data!BI4="x","✓","")</f>
        <v/>
      </c>
      <c r="G61" s="43" t="str">
        <f>IF(Data!BI5="x","✓","")</f>
        <v/>
      </c>
      <c r="H61" s="43" t="str">
        <f>IF(Data!BI6="x","✓","")</f>
        <v/>
      </c>
      <c r="I61" s="43" t="str">
        <f>IF(Data!BI7="x","✓","")</f>
        <v/>
      </c>
      <c r="J61" s="43" t="str">
        <f>IF(Data!BI8="x","✓","")</f>
        <v/>
      </c>
      <c r="K61" s="43" t="str">
        <f>IF(Data!BI9="x","✓","")</f>
        <v/>
      </c>
      <c r="L61" s="43" t="str">
        <f>IF(Data!BI10="x","✓","")</f>
        <v/>
      </c>
      <c r="M61" s="43" t="str">
        <f>IF(Data!BI11="x","✓","")</f>
        <v/>
      </c>
      <c r="N61" s="43" t="str">
        <f>IF(Data!BI12="x","✓","")</f>
        <v/>
      </c>
      <c r="O61" s="43" t="str">
        <f>IF(Data!BI13="x","✓","")</f>
        <v/>
      </c>
      <c r="P61" s="43" t="str">
        <f>IF(Data!BI14="x","✓","")</f>
        <v/>
      </c>
      <c r="Q61" s="43" t="str">
        <f>IF(Data!BI15="x","✓","")</f>
        <v/>
      </c>
      <c r="R61" s="43" t="str">
        <f>IF(Data!BI16="x","✓","")</f>
        <v/>
      </c>
      <c r="S61" s="43" t="str">
        <f>IF(Data!BI17="x","✓","")</f>
        <v/>
      </c>
      <c r="T61" s="43" t="str">
        <f>IF(Data!BI18="x","✓","")</f>
        <v/>
      </c>
      <c r="U61" s="43" t="str">
        <f>IF(Data!BI19="x","✓","")</f>
        <v/>
      </c>
      <c r="V61" s="43" t="str">
        <f>IF(Data!BI20="x","✓","")</f>
        <v/>
      </c>
      <c r="W61" s="43" t="str">
        <f>IF(Data!BI21="x","✓","")</f>
        <v/>
      </c>
      <c r="X61" s="43" t="str">
        <f>IF(Data!BI22="x","✓","")</f>
        <v/>
      </c>
      <c r="Y61" s="43" t="str">
        <f>IF(Data!BI23="x","✓","")</f>
        <v/>
      </c>
      <c r="Z61" s="43" t="str">
        <f>IF(Data!BI24="x","✓","")</f>
        <v/>
      </c>
      <c r="AA61" s="43" t="str">
        <f>IF(Data!BI25="x","✓","")</f>
        <v/>
      </c>
      <c r="AB61" s="43" t="str">
        <f>IF(Data!BI26="x","✓","")</f>
        <v/>
      </c>
      <c r="AC61" s="43" t="str">
        <f>IF(Data!BI27="x","✓","")</f>
        <v/>
      </c>
      <c r="AD61" s="43" t="str">
        <f>IF(Data!BI28="x","✓","")</f>
        <v/>
      </c>
      <c r="AE61" s="44" t="str">
        <f>IF(Data!BI29="x","✓","")</f>
        <v>✓</v>
      </c>
      <c r="AF61" s="43" t="str">
        <f>IF(Data!BI30="x","✓","")</f>
        <v/>
      </c>
      <c r="AG61" s="43" t="str">
        <f>IF(Data!BI31="x","✓","")</f>
        <v/>
      </c>
      <c r="AH61" s="43" t="str">
        <f>IF(Data!BI32="x","✓","")</f>
        <v/>
      </c>
      <c r="AI61" s="43" t="str">
        <f>IF(Data!BI33="x","✓","")</f>
        <v/>
      </c>
      <c r="AJ61" s="43" t="str">
        <f>IF(Data!BI34="x","✓","")</f>
        <v/>
      </c>
      <c r="AK61" s="43" t="str">
        <f>IF(Data!BI35="x","✓","")</f>
        <v/>
      </c>
      <c r="AL61" s="47" t="str">
        <f>IF(Data!BI36="x","✓","")</f>
        <v>✓</v>
      </c>
      <c r="AM61" s="43" t="str">
        <f>IF(Data!BI37="x","✓","")</f>
        <v/>
      </c>
      <c r="AN61" s="47" t="str">
        <f>IF(Data!BI38="x","✓","")</f>
        <v>✓</v>
      </c>
      <c r="AO61" s="44" t="str">
        <f>IF(Data!BI39="x","✓","")</f>
        <v>✓</v>
      </c>
      <c r="AP61" s="43" t="str">
        <f>IF(Data!BI40="x","✓","")</f>
        <v/>
      </c>
      <c r="AQ61" s="43" t="str">
        <f>IF(Data!BI41="x","✓","")</f>
        <v/>
      </c>
      <c r="AR61" s="43" t="str">
        <f>IF(Data!BI42="x","✓","")</f>
        <v>✓</v>
      </c>
      <c r="AS61" s="43" t="str">
        <f>IF(Data!BI43="x","✓","")</f>
        <v/>
      </c>
      <c r="AT61" s="43" t="str">
        <f>IF(Data!BI44="x","✓","")</f>
        <v/>
      </c>
      <c r="AU61" s="43" t="str">
        <f>IF(Data!BI45="x","✓","")</f>
        <v/>
      </c>
      <c r="AV61" s="43" t="str">
        <f>IF(Data!BI46="x","✓","")</f>
        <v/>
      </c>
      <c r="AW61" s="43" t="str">
        <f>IF(Data!BI47="x","✓","")</f>
        <v/>
      </c>
      <c r="AX61" s="43" t="str">
        <f>IF(Data!BI48="x","✓","")</f>
        <v/>
      </c>
      <c r="AY61" s="43" t="str">
        <f>IF(Data!BI49="x","✓","")</f>
        <v/>
      </c>
      <c r="AZ61" s="43" t="str">
        <f>IF(Data!BI50="x","✓","")</f>
        <v/>
      </c>
      <c r="BA61" s="43" t="str">
        <f>IF(Data!BI51="x","✓","")</f>
        <v/>
      </c>
      <c r="BB61" s="43" t="str">
        <f>IF(Data!BI52="x","✓","")</f>
        <v/>
      </c>
      <c r="BC61" s="43" t="str">
        <f>IF(Data!BI53="x","✓","")</f>
        <v/>
      </c>
      <c r="BD61" s="43" t="str">
        <f>IF(Data!BI54="x","✓","")</f>
        <v/>
      </c>
      <c r="BE61" s="43" t="str">
        <f>IF(Data!BI55="x","✓","")</f>
        <v/>
      </c>
      <c r="BF61" s="43" t="str">
        <f>IF(Data!BI56="x","✓","")</f>
        <v/>
      </c>
      <c r="BG61" s="43" t="str">
        <f>IF(Data!BI57="x","✓","")</f>
        <v/>
      </c>
      <c r="BH61" s="43" t="str">
        <f>IF(Data!BI58="x","✓","")</f>
        <v/>
      </c>
      <c r="BI61" s="43" t="str">
        <f>IF(Data!BI59="x","✓","")</f>
        <v/>
      </c>
      <c r="BJ61" s="43" t="str">
        <f>IF(Data!BI60="x","✓","")</f>
        <v/>
      </c>
      <c r="BK61" s="43" t="str">
        <f>IF(Data!BI61="x","✓","")</f>
        <v/>
      </c>
    </row>
    <row r="62" spans="2:63" ht="15.75" customHeight="1">
      <c r="B62" s="45" t="s">
        <v>60</v>
      </c>
      <c r="C62" s="42">
        <f>COUNTIF(Data!BJ2:BJ61,"x")</f>
        <v>5</v>
      </c>
      <c r="D62" s="46" t="str">
        <f>IF(Data!BJ2="x","✓","")</f>
        <v/>
      </c>
      <c r="E62" s="46" t="str">
        <f>IF(Data!BJ3="x","✓","")</f>
        <v/>
      </c>
      <c r="F62" s="46" t="str">
        <f>IF(Data!BJ4="x","✓","")</f>
        <v/>
      </c>
      <c r="G62" s="46" t="str">
        <f>IF(Data!BJ5="x","✓","")</f>
        <v/>
      </c>
      <c r="H62" s="46" t="str">
        <f>IF(Data!BJ6="x","✓","")</f>
        <v/>
      </c>
      <c r="I62" s="46" t="str">
        <f>IF(Data!BJ7="x","✓","")</f>
        <v/>
      </c>
      <c r="J62" s="46" t="str">
        <f>IF(Data!BJ8="x","✓","")</f>
        <v/>
      </c>
      <c r="K62" s="46" t="str">
        <f>IF(Data!BJ9="x","✓","")</f>
        <v/>
      </c>
      <c r="L62" s="46" t="str">
        <f>IF(Data!BJ10="x","✓","")</f>
        <v/>
      </c>
      <c r="M62" s="46" t="str">
        <f>IF(Data!BJ11="x","✓","")</f>
        <v/>
      </c>
      <c r="N62" s="46" t="str">
        <f>IF(Data!BJ12="x","✓","")</f>
        <v/>
      </c>
      <c r="O62" s="46" t="str">
        <f>IF(Data!BJ13="x","✓","")</f>
        <v/>
      </c>
      <c r="P62" s="46" t="str">
        <f>IF(Data!BJ14="x","✓","")</f>
        <v/>
      </c>
      <c r="Q62" s="44" t="str">
        <f>IF(Data!BJ15="x","✓","")</f>
        <v>✓</v>
      </c>
      <c r="R62" s="46" t="str">
        <f>IF(Data!BJ16="x","✓","")</f>
        <v/>
      </c>
      <c r="S62" s="46" t="str">
        <f>IF(Data!BJ17="x","✓","")</f>
        <v/>
      </c>
      <c r="T62" s="46" t="str">
        <f>IF(Data!BJ18="x","✓","")</f>
        <v/>
      </c>
      <c r="U62" s="46" t="str">
        <f>IF(Data!BJ19="x","✓","")</f>
        <v/>
      </c>
      <c r="V62" s="46" t="str">
        <f>IF(Data!BJ20="x","✓","")</f>
        <v/>
      </c>
      <c r="W62" s="46" t="str">
        <f>IF(Data!BJ21="x","✓","")</f>
        <v/>
      </c>
      <c r="X62" s="46" t="str">
        <f>IF(Data!BJ22="x","✓","")</f>
        <v/>
      </c>
      <c r="Y62" s="46" t="str">
        <f>IF(Data!BJ23="x","✓","")</f>
        <v/>
      </c>
      <c r="Z62" s="46" t="str">
        <f>IF(Data!BJ24="x","✓","")</f>
        <v/>
      </c>
      <c r="AA62" s="46" t="str">
        <f>IF(Data!BJ25="x","✓","")</f>
        <v/>
      </c>
      <c r="AB62" s="46" t="str">
        <f>IF(Data!BJ26="x","✓","")</f>
        <v/>
      </c>
      <c r="AC62" s="46" t="str">
        <f>IF(Data!BJ27="x","✓","")</f>
        <v/>
      </c>
      <c r="AD62" s="46" t="str">
        <f>IF(Data!BJ28="x","✓","")</f>
        <v/>
      </c>
      <c r="AE62" s="46" t="str">
        <f>IF(Data!BJ29="x","✓","")</f>
        <v/>
      </c>
      <c r="AF62" s="47" t="str">
        <f>IF(Data!BJ30="x","✓","")</f>
        <v>✓</v>
      </c>
      <c r="AG62" s="46" t="str">
        <f>IF(Data!BJ31="x","✓","")</f>
        <v/>
      </c>
      <c r="AH62" s="47" t="str">
        <f>IF(Data!BJ32="x","✓","")</f>
        <v>✓</v>
      </c>
      <c r="AI62" s="46" t="str">
        <f>IF(Data!BJ33="x","✓","")</f>
        <v/>
      </c>
      <c r="AJ62" s="46" t="str">
        <f>IF(Data!BJ34="x","✓","")</f>
        <v/>
      </c>
      <c r="AK62" s="44" t="str">
        <f>IF(Data!BJ35="x","✓","")</f>
        <v>✓</v>
      </c>
      <c r="AL62" s="46" t="str">
        <f>IF(Data!BJ36="x","✓","")</f>
        <v/>
      </c>
      <c r="AM62" s="46" t="str">
        <f>IF(Data!BJ37="x","✓","")</f>
        <v/>
      </c>
      <c r="AN62" s="46" t="str">
        <f>IF(Data!BJ38="x","✓","")</f>
        <v/>
      </c>
      <c r="AO62" s="46" t="str">
        <f>IF(Data!BJ39="x","✓","")</f>
        <v/>
      </c>
      <c r="AP62" s="46" t="str">
        <f>IF(Data!BJ40="x","✓","")</f>
        <v/>
      </c>
      <c r="AQ62" s="46" t="str">
        <f>IF(Data!BJ41="x","✓","")</f>
        <v/>
      </c>
      <c r="AR62" s="46" t="str">
        <f>IF(Data!BJ42="x","✓","")</f>
        <v>✓</v>
      </c>
      <c r="AS62" s="46" t="str">
        <f>IF(Data!BJ43="x","✓","")</f>
        <v/>
      </c>
      <c r="AT62" s="46" t="str">
        <f>IF(Data!BJ44="x","✓","")</f>
        <v/>
      </c>
      <c r="AU62" s="46" t="str">
        <f>IF(Data!BJ45="x","✓","")</f>
        <v/>
      </c>
      <c r="AV62" s="46" t="str">
        <f>IF(Data!BJ46="x","✓","")</f>
        <v/>
      </c>
      <c r="AW62" s="46" t="str">
        <f>IF(Data!BJ47="x","✓","")</f>
        <v/>
      </c>
      <c r="AX62" s="46" t="str">
        <f>IF(Data!BJ48="x","✓","")</f>
        <v/>
      </c>
      <c r="AY62" s="46" t="str">
        <f>IF(Data!BJ49="x","✓","")</f>
        <v/>
      </c>
      <c r="AZ62" s="46" t="str">
        <f>IF(Data!BJ50="x","✓","")</f>
        <v/>
      </c>
      <c r="BA62" s="46" t="str">
        <f>IF(Data!BJ51="x","✓","")</f>
        <v/>
      </c>
      <c r="BB62" s="46" t="str">
        <f>IF(Data!BJ52="x","✓","")</f>
        <v/>
      </c>
      <c r="BC62" s="46" t="str">
        <f>IF(Data!BJ53="x","✓","")</f>
        <v/>
      </c>
      <c r="BD62" s="46" t="str">
        <f>IF(Data!BJ54="x","✓","")</f>
        <v/>
      </c>
      <c r="BE62" s="46" t="str">
        <f>IF(Data!BJ55="x","✓","")</f>
        <v/>
      </c>
      <c r="BF62" s="46" t="str">
        <f>IF(Data!BJ56="x","✓","")</f>
        <v/>
      </c>
      <c r="BG62" s="46" t="str">
        <f>IF(Data!BJ57="x","✓","")</f>
        <v/>
      </c>
      <c r="BH62" s="46" t="str">
        <f>IF(Data!BJ58="x","✓","")</f>
        <v/>
      </c>
      <c r="BI62" s="46" t="str">
        <f>IF(Data!BJ59="x","✓","")</f>
        <v/>
      </c>
      <c r="BJ62" s="46" t="str">
        <f>IF(Data!BJ60="x","✓","")</f>
        <v/>
      </c>
      <c r="BK62" s="46" t="str">
        <f>IF(Data!BJ61="x","✓","")</f>
        <v/>
      </c>
    </row>
    <row r="63" spans="2:63" ht="15.75" customHeight="1">
      <c r="B63" s="41" t="s">
        <v>61</v>
      </c>
      <c r="C63" s="48">
        <f>COUNTIF(Data!BK2:BK61,"x")</f>
        <v>9</v>
      </c>
      <c r="D63" s="47" t="str">
        <f>IF(Data!BK2="x","✓","")</f>
        <v>✓</v>
      </c>
      <c r="E63" s="44" t="str">
        <f>IF(Data!BK3="x","✓","")</f>
        <v>✓</v>
      </c>
      <c r="F63" s="43" t="str">
        <f>IF(Data!BK4="x","✓","")</f>
        <v/>
      </c>
      <c r="G63" s="43" t="str">
        <f>IF(Data!BK5="x","✓","")</f>
        <v/>
      </c>
      <c r="H63" s="43" t="str">
        <f>IF(Data!BK6="x","✓","")</f>
        <v/>
      </c>
      <c r="I63" s="43" t="str">
        <f>IF(Data!BK7="x","✓","")</f>
        <v/>
      </c>
      <c r="J63" s="43" t="str">
        <f>IF(Data!BK8="x","✓","")</f>
        <v/>
      </c>
      <c r="K63" s="43" t="str">
        <f>IF(Data!BK9="x","✓","")</f>
        <v/>
      </c>
      <c r="L63" s="43" t="str">
        <f>IF(Data!BK10="x","✓","")</f>
        <v/>
      </c>
      <c r="M63" s="43" t="str">
        <f>IF(Data!BK11="x","✓","")</f>
        <v/>
      </c>
      <c r="N63" s="43" t="str">
        <f>IF(Data!BK12="x","✓","")</f>
        <v/>
      </c>
      <c r="O63" s="43" t="str">
        <f>IF(Data!BK13="x","✓","")</f>
        <v/>
      </c>
      <c r="P63" s="43" t="str">
        <f>IF(Data!BK14="x","✓","")</f>
        <v/>
      </c>
      <c r="Q63" s="43" t="str">
        <f>IF(Data!BK15="x","✓","")</f>
        <v/>
      </c>
      <c r="R63" s="47" t="str">
        <f>IF(Data!BK16="x","✓","")</f>
        <v>✓</v>
      </c>
      <c r="S63" s="43" t="str">
        <f>IF(Data!BK17="x","✓","")</f>
        <v/>
      </c>
      <c r="T63" s="43" t="str">
        <f>IF(Data!BK18="x","✓","")</f>
        <v/>
      </c>
      <c r="U63" s="43" t="str">
        <f>IF(Data!BK19="x","✓","")</f>
        <v/>
      </c>
      <c r="V63" s="43" t="str">
        <f>IF(Data!BK20="x","✓","")</f>
        <v/>
      </c>
      <c r="W63" s="43" t="str">
        <f>IF(Data!BK21="x","✓","")</f>
        <v/>
      </c>
      <c r="X63" s="43" t="str">
        <f>IF(Data!BK22="x","✓","")</f>
        <v/>
      </c>
      <c r="Y63" s="44" t="str">
        <f>IF(Data!BK23="x","✓","")</f>
        <v/>
      </c>
      <c r="Z63" s="43" t="str">
        <f>IF(Data!BK24="x","✓","")</f>
        <v/>
      </c>
      <c r="AA63" s="44" t="str">
        <f>IF(Data!BK25="x","✓","")</f>
        <v>✓</v>
      </c>
      <c r="AB63" s="47" t="str">
        <f>IF(Data!BK26="x","✓","")</f>
        <v>✓</v>
      </c>
      <c r="AC63" s="43" t="str">
        <f>IF(Data!BK27="x","✓","")</f>
        <v/>
      </c>
      <c r="AD63" s="47" t="str">
        <f>IF(Data!BK28="x","✓","")</f>
        <v>✓</v>
      </c>
      <c r="AE63" s="43" t="str">
        <f>IF(Data!BK29="x","✓","")</f>
        <v/>
      </c>
      <c r="AF63" s="43" t="str">
        <f>IF(Data!BK30="x","✓","")</f>
        <v/>
      </c>
      <c r="AG63" s="44" t="str">
        <f>IF(Data!BK31="x","✓","")</f>
        <v>✓</v>
      </c>
      <c r="AH63" s="43" t="str">
        <f>IF(Data!BK32="x","✓","")</f>
        <v/>
      </c>
      <c r="AI63" s="43" t="str">
        <f>IF(Data!BK33="x","✓","")</f>
        <v/>
      </c>
      <c r="AJ63" s="43" t="str">
        <f>IF(Data!BK34="x","✓","")</f>
        <v/>
      </c>
      <c r="AK63" s="44" t="str">
        <f>IF(Data!BK35="x","✓","")</f>
        <v>✓</v>
      </c>
      <c r="AL63" s="43" t="str">
        <f>IF(Data!BK36="x","✓","")</f>
        <v/>
      </c>
      <c r="AM63" s="43" t="str">
        <f>IF(Data!BK37="x","✓","")</f>
        <v/>
      </c>
      <c r="AN63" s="43" t="str">
        <f>IF(Data!BK38="x","✓","")</f>
        <v/>
      </c>
      <c r="AO63" s="43" t="str">
        <f>IF(Data!BK39="x","✓","")</f>
        <v/>
      </c>
      <c r="AP63" s="43" t="str">
        <f>IF(Data!BK40="x","✓","")</f>
        <v/>
      </c>
      <c r="AQ63" s="43" t="str">
        <f>IF(Data!BK41="x","✓","")</f>
        <v/>
      </c>
      <c r="AR63" s="43" t="str">
        <f>IF(Data!BK42="x","✓","")</f>
        <v>✓</v>
      </c>
      <c r="AS63" s="43" t="str">
        <f>IF(Data!BK43="x","✓","")</f>
        <v/>
      </c>
      <c r="AT63" s="43" t="str">
        <f>IF(Data!BK44="x","✓","")</f>
        <v/>
      </c>
      <c r="AU63" s="43" t="str">
        <f>IF(Data!BK45="x","✓","")</f>
        <v/>
      </c>
      <c r="AV63" s="43" t="str">
        <f>IF(Data!BK46="x","✓","")</f>
        <v/>
      </c>
      <c r="AW63" s="43" t="str">
        <f>IF(Data!BK47="x","✓","")</f>
        <v/>
      </c>
      <c r="AX63" s="43" t="str">
        <f>IF(Data!BK48="x","✓","")</f>
        <v/>
      </c>
      <c r="AY63" s="43" t="str">
        <f>IF(Data!BK49="x","✓","")</f>
        <v/>
      </c>
      <c r="AZ63" s="43" t="str">
        <f>IF(Data!BK50="x","✓","")</f>
        <v/>
      </c>
      <c r="BA63" s="43" t="str">
        <f>IF(Data!BK51="x","✓","")</f>
        <v/>
      </c>
      <c r="BB63" s="43" t="str">
        <f>IF(Data!BK52="x","✓","")</f>
        <v/>
      </c>
      <c r="BC63" s="43" t="str">
        <f>IF(Data!BK53="x","✓","")</f>
        <v/>
      </c>
      <c r="BD63" s="43" t="str">
        <f>IF(Data!BK54="x","✓","")</f>
        <v/>
      </c>
      <c r="BE63" s="43" t="str">
        <f>IF(Data!BK55="x","✓","")</f>
        <v/>
      </c>
      <c r="BF63" s="43" t="str">
        <f>IF(Data!BK56="x","✓","")</f>
        <v/>
      </c>
      <c r="BG63" s="43" t="str">
        <f>IF(Data!BK57="x","✓","")</f>
        <v/>
      </c>
      <c r="BH63" s="43" t="str">
        <f>IF(Data!BK58="x","✓","")</f>
        <v/>
      </c>
      <c r="BI63" s="43" t="str">
        <f>IF(Data!BK59="x","✓","")</f>
        <v/>
      </c>
      <c r="BJ63" s="43" t="str">
        <f>IF(Data!BK60="x","✓","")</f>
        <v/>
      </c>
      <c r="BK63" s="43" t="str">
        <f>IF(Data!BK61="x","✓","")</f>
        <v/>
      </c>
    </row>
    <row r="64" spans="2:63" ht="15.75" customHeight="1">
      <c r="B64" s="45" t="s">
        <v>62</v>
      </c>
      <c r="C64" s="42">
        <f>COUNTIF(Data!BL2:BL61,"x")</f>
        <v>6</v>
      </c>
      <c r="D64" s="46" t="str">
        <f>IF(Data!BL2="x","✓","")</f>
        <v/>
      </c>
      <c r="E64" s="46" t="str">
        <f>IF(Data!BL3="x","✓","")</f>
        <v/>
      </c>
      <c r="F64" s="46" t="str">
        <f>IF(Data!BL4="x","✓","")</f>
        <v/>
      </c>
      <c r="G64" s="46" t="str">
        <f>IF(Data!BL5="x","✓","")</f>
        <v/>
      </c>
      <c r="H64" s="46" t="str">
        <f>IF(Data!BL6="x","✓","")</f>
        <v/>
      </c>
      <c r="I64" s="46" t="str">
        <f>IF(Data!BL7="x","✓","")</f>
        <v/>
      </c>
      <c r="J64" s="46" t="str">
        <f>IF(Data!BL8="x","✓","")</f>
        <v/>
      </c>
      <c r="K64" s="46" t="str">
        <f>IF(Data!BL9="x","✓","")</f>
        <v/>
      </c>
      <c r="L64" s="46" t="str">
        <f>IF(Data!BL10="x","✓","")</f>
        <v/>
      </c>
      <c r="M64" s="46" t="str">
        <f>IF(Data!BL11="x","✓","")</f>
        <v/>
      </c>
      <c r="N64" s="46" t="str">
        <f>IF(Data!BL12="x","✓","")</f>
        <v/>
      </c>
      <c r="O64" s="46" t="str">
        <f>IF(Data!BL13="x","✓","")</f>
        <v/>
      </c>
      <c r="P64" s="46" t="str">
        <f>IF(Data!BL14="x","✓","")</f>
        <v/>
      </c>
      <c r="Q64" s="46" t="str">
        <f>IF(Data!BL15="x","✓","")</f>
        <v/>
      </c>
      <c r="R64" s="46" t="str">
        <f>IF(Data!BL16="x","✓","")</f>
        <v/>
      </c>
      <c r="S64" s="46" t="str">
        <f>IF(Data!BL17="x","✓","")</f>
        <v/>
      </c>
      <c r="T64" s="46" t="str">
        <f>IF(Data!BL18="x","✓","")</f>
        <v/>
      </c>
      <c r="U64" s="44" t="str">
        <f>IF(Data!BL19="x","✓","")</f>
        <v>✓</v>
      </c>
      <c r="V64" s="46" t="str">
        <f>IF(Data!BL20="x","✓","")</f>
        <v/>
      </c>
      <c r="W64" s="46" t="str">
        <f>IF(Data!BL21="x","✓","")</f>
        <v/>
      </c>
      <c r="X64" s="46" t="str">
        <f>IF(Data!BL22="x","✓","")</f>
        <v/>
      </c>
      <c r="Y64" s="46" t="str">
        <f>IF(Data!BL23="x","✓","")</f>
        <v/>
      </c>
      <c r="Z64" s="46" t="str">
        <f>IF(Data!BL24="x","✓","")</f>
        <v/>
      </c>
      <c r="AA64" s="46" t="str">
        <f>IF(Data!BL25="x","✓","")</f>
        <v/>
      </c>
      <c r="AB64" s="46" t="str">
        <f>IF(Data!BL26="x","✓","")</f>
        <v/>
      </c>
      <c r="AC64" s="46" t="str">
        <f>IF(Data!BL27="x","✓","")</f>
        <v/>
      </c>
      <c r="AD64" s="46" t="str">
        <f>IF(Data!BL28="x","✓","")</f>
        <v/>
      </c>
      <c r="AE64" s="44" t="str">
        <f>IF(Data!BL29="x","✓","")</f>
        <v>✓</v>
      </c>
      <c r="AF64" s="46" t="str">
        <f>IF(Data!BL30="x","✓","")</f>
        <v/>
      </c>
      <c r="AG64" s="46" t="str">
        <f>IF(Data!BL31="x","✓","")</f>
        <v/>
      </c>
      <c r="AH64" s="46" t="str">
        <f>IF(Data!BL32="x","✓","")</f>
        <v/>
      </c>
      <c r="AI64" s="46" t="str">
        <f>IF(Data!BL33="x","✓","")</f>
        <v/>
      </c>
      <c r="AJ64" s="46" t="str">
        <f>IF(Data!BL34="x","✓","")</f>
        <v/>
      </c>
      <c r="AK64" s="46" t="str">
        <f>IF(Data!BL35="x","✓","")</f>
        <v/>
      </c>
      <c r="AL64" s="47" t="str">
        <f>IF(Data!BL36="x","✓","")</f>
        <v>✓</v>
      </c>
      <c r="AM64" s="46" t="str">
        <f>IF(Data!BL37="x","✓","")</f>
        <v/>
      </c>
      <c r="AN64" s="47" t="str">
        <f>IF(Data!BL38="x","✓","")</f>
        <v>✓</v>
      </c>
      <c r="AO64" s="44" t="str">
        <f>IF(Data!BL39="x","✓","")</f>
        <v>✓</v>
      </c>
      <c r="AP64" s="46" t="str">
        <f>IF(Data!BL40="x","✓","")</f>
        <v/>
      </c>
      <c r="AQ64" s="46" t="str">
        <f>IF(Data!BL41="x","✓","")</f>
        <v/>
      </c>
      <c r="AR64" s="46" t="str">
        <f>IF(Data!BL42="x","✓","")</f>
        <v>✓</v>
      </c>
      <c r="AS64" s="46" t="str">
        <f>IF(Data!BL43="x","✓","")</f>
        <v/>
      </c>
      <c r="AT64" s="46" t="str">
        <f>IF(Data!BL44="x","✓","")</f>
        <v/>
      </c>
      <c r="AU64" s="46" t="str">
        <f>IF(Data!BL45="x","✓","")</f>
        <v/>
      </c>
      <c r="AV64" s="46" t="str">
        <f>IF(Data!BL46="x","✓","")</f>
        <v/>
      </c>
      <c r="AW64" s="46" t="str">
        <f>IF(Data!BL47="x","✓","")</f>
        <v/>
      </c>
      <c r="AX64" s="46" t="str">
        <f>IF(Data!BL48="x","✓","")</f>
        <v/>
      </c>
      <c r="AY64" s="46" t="str">
        <f>IF(Data!BL49="x","✓","")</f>
        <v/>
      </c>
      <c r="AZ64" s="46" t="str">
        <f>IF(Data!BL50="x","✓","")</f>
        <v/>
      </c>
      <c r="BA64" s="46" t="str">
        <f>IF(Data!BL51="x","✓","")</f>
        <v/>
      </c>
      <c r="BB64" s="46" t="str">
        <f>IF(Data!BL52="x","✓","")</f>
        <v/>
      </c>
      <c r="BC64" s="46" t="str">
        <f>IF(Data!BL53="x","✓","")</f>
        <v/>
      </c>
      <c r="BD64" s="46" t="str">
        <f>IF(Data!BL54="x","✓","")</f>
        <v/>
      </c>
      <c r="BE64" s="46" t="str">
        <f>IF(Data!BL55="x","✓","")</f>
        <v/>
      </c>
      <c r="BF64" s="46" t="str">
        <f>IF(Data!BL56="x","✓","")</f>
        <v/>
      </c>
      <c r="BG64" s="46" t="str">
        <f>IF(Data!BL57="x","✓","")</f>
        <v/>
      </c>
      <c r="BH64" s="46" t="str">
        <f>IF(Data!BL58="x","✓","")</f>
        <v/>
      </c>
      <c r="BI64" s="46" t="str">
        <f>IF(Data!BL59="x","✓","")</f>
        <v/>
      </c>
      <c r="BJ64" s="46" t="str">
        <f>IF(Data!BL60="x","✓","")</f>
        <v/>
      </c>
      <c r="BK64" s="46" t="str">
        <f>IF(Data!BL61="x","✓","")</f>
        <v/>
      </c>
    </row>
    <row r="65" spans="2:63" ht="15.75" customHeight="1">
      <c r="B65" s="41" t="s">
        <v>63</v>
      </c>
      <c r="C65" s="42">
        <f>COUNTIF(Data!BM2:BM61,"x")</f>
        <v>6</v>
      </c>
      <c r="D65" s="43" t="str">
        <f>IF(Data!BM2="x","✓","")</f>
        <v/>
      </c>
      <c r="E65" s="43" t="str">
        <f>IF(Data!BM3="x","✓","")</f>
        <v/>
      </c>
      <c r="F65" s="43" t="str">
        <f>IF(Data!BM4="x","✓","")</f>
        <v/>
      </c>
      <c r="G65" s="43" t="str">
        <f>IF(Data!BM5="x","✓","")</f>
        <v/>
      </c>
      <c r="H65" s="43" t="str">
        <f>IF(Data!BM6="x","✓","")</f>
        <v/>
      </c>
      <c r="I65" s="43" t="str">
        <f>IF(Data!BM7="x","✓","")</f>
        <v/>
      </c>
      <c r="J65" s="43" t="str">
        <f>IF(Data!BM8="x","✓","")</f>
        <v/>
      </c>
      <c r="K65" s="43" t="str">
        <f>IF(Data!BM9="x","✓","")</f>
        <v/>
      </c>
      <c r="L65" s="43" t="str">
        <f>IF(Data!BM10="x","✓","")</f>
        <v/>
      </c>
      <c r="M65" s="43" t="str">
        <f>IF(Data!BM11="x","✓","")</f>
        <v/>
      </c>
      <c r="N65" s="43" t="str">
        <f>IF(Data!BM12="x","✓","")</f>
        <v/>
      </c>
      <c r="O65" s="43" t="str">
        <f>IF(Data!BM13="x","✓","")</f>
        <v/>
      </c>
      <c r="P65" s="43" t="str">
        <f>IF(Data!BM14="x","✓","")</f>
        <v/>
      </c>
      <c r="Q65" s="43" t="str">
        <f>IF(Data!BM15="x","✓","")</f>
        <v/>
      </c>
      <c r="R65" s="43" t="str">
        <f>IF(Data!BM16="x","✓","")</f>
        <v/>
      </c>
      <c r="S65" s="43" t="str">
        <f>IF(Data!BM17="x","✓","")</f>
        <v/>
      </c>
      <c r="T65" s="43" t="str">
        <f>IF(Data!BM18="x","✓","")</f>
        <v/>
      </c>
      <c r="U65" s="44" t="str">
        <f>IF(Data!BM19="x","✓","")</f>
        <v>✓</v>
      </c>
      <c r="V65" s="43" t="str">
        <f>IF(Data!BM20="x","✓","")</f>
        <v/>
      </c>
      <c r="W65" s="43" t="str">
        <f>IF(Data!BM21="x","✓","")</f>
        <v/>
      </c>
      <c r="X65" s="43" t="str">
        <f>IF(Data!BM22="x","✓","")</f>
        <v/>
      </c>
      <c r="Y65" s="43" t="str">
        <f>IF(Data!BM23="x","✓","")</f>
        <v/>
      </c>
      <c r="Z65" s="43" t="str">
        <f>IF(Data!BM24="x","✓","")</f>
        <v/>
      </c>
      <c r="AA65" s="43" t="str">
        <f>IF(Data!BM25="x","✓","")</f>
        <v/>
      </c>
      <c r="AB65" s="43" t="str">
        <f>IF(Data!BM26="x","✓","")</f>
        <v/>
      </c>
      <c r="AC65" s="43" t="str">
        <f>IF(Data!BM27="x","✓","")</f>
        <v/>
      </c>
      <c r="AD65" s="43" t="str">
        <f>IF(Data!BM28="x","✓","")</f>
        <v/>
      </c>
      <c r="AE65" s="44" t="str">
        <f>IF(Data!BM29="x","✓","")</f>
        <v>✓</v>
      </c>
      <c r="AF65" s="43" t="str">
        <f>IF(Data!BM30="x","✓","")</f>
        <v/>
      </c>
      <c r="AG65" s="43" t="str">
        <f>IF(Data!BM31="x","✓","")</f>
        <v/>
      </c>
      <c r="AH65" s="43" t="str">
        <f>IF(Data!BM32="x","✓","")</f>
        <v/>
      </c>
      <c r="AI65" s="43" t="str">
        <f>IF(Data!BM33="x","✓","")</f>
        <v/>
      </c>
      <c r="AJ65" s="43" t="str">
        <f>IF(Data!BM34="x","✓","")</f>
        <v/>
      </c>
      <c r="AK65" s="43" t="str">
        <f>IF(Data!BM35="x","✓","")</f>
        <v/>
      </c>
      <c r="AL65" s="47" t="str">
        <f>IF(Data!BM36="x","✓","")</f>
        <v>✓</v>
      </c>
      <c r="AM65" s="43" t="str">
        <f>IF(Data!BM37="x","✓","")</f>
        <v/>
      </c>
      <c r="AN65" s="47" t="str">
        <f>IF(Data!BM38="x","✓","")</f>
        <v>✓</v>
      </c>
      <c r="AO65" s="44" t="str">
        <f>IF(Data!BM39="x","✓","")</f>
        <v>✓</v>
      </c>
      <c r="AP65" s="43" t="str">
        <f>IF(Data!BM40="x","✓","")</f>
        <v/>
      </c>
      <c r="AQ65" s="43" t="str">
        <f>IF(Data!BM41="x","✓","")</f>
        <v/>
      </c>
      <c r="AR65" s="43" t="str">
        <f>IF(Data!BM42="x","✓","")</f>
        <v>✓</v>
      </c>
      <c r="AS65" s="43" t="str">
        <f>IF(Data!BM43="x","✓","")</f>
        <v/>
      </c>
      <c r="AT65" s="43" t="str">
        <f>IF(Data!BM44="x","✓","")</f>
        <v/>
      </c>
      <c r="AU65" s="43" t="str">
        <f>IF(Data!BM45="x","✓","")</f>
        <v/>
      </c>
      <c r="AV65" s="43" t="str">
        <f>IF(Data!BM46="x","✓","")</f>
        <v/>
      </c>
      <c r="AW65" s="43" t="str">
        <f>IF(Data!BM47="x","✓","")</f>
        <v/>
      </c>
      <c r="AX65" s="43" t="str">
        <f>IF(Data!BM48="x","✓","")</f>
        <v/>
      </c>
      <c r="AY65" s="43" t="str">
        <f>IF(Data!BM49="x","✓","")</f>
        <v/>
      </c>
      <c r="AZ65" s="43" t="str">
        <f>IF(Data!BM50="x","✓","")</f>
        <v/>
      </c>
      <c r="BA65" s="43" t="str">
        <f>IF(Data!BM51="x","✓","")</f>
        <v/>
      </c>
      <c r="BB65" s="43" t="str">
        <f>IF(Data!BM52="x","✓","")</f>
        <v/>
      </c>
      <c r="BC65" s="43" t="str">
        <f>IF(Data!BM53="x","✓","")</f>
        <v/>
      </c>
      <c r="BD65" s="43" t="str">
        <f>IF(Data!BM54="x","✓","")</f>
        <v/>
      </c>
      <c r="BE65" s="43" t="str">
        <f>IF(Data!BM55="x","✓","")</f>
        <v/>
      </c>
      <c r="BF65" s="43" t="str">
        <f>IF(Data!BM56="x","✓","")</f>
        <v/>
      </c>
      <c r="BG65" s="43" t="str">
        <f>IF(Data!BM57="x","✓","")</f>
        <v/>
      </c>
      <c r="BH65" s="43" t="str">
        <f>IF(Data!BM58="x","✓","")</f>
        <v/>
      </c>
      <c r="BI65" s="43" t="str">
        <f>IF(Data!BM59="x","✓","")</f>
        <v/>
      </c>
      <c r="BJ65" s="43" t="str">
        <f>IF(Data!BM60="x","✓","")</f>
        <v/>
      </c>
      <c r="BK65" s="43" t="str">
        <f>IF(Data!BM61="x","✓","")</f>
        <v/>
      </c>
    </row>
    <row r="66" spans="2:63" ht="15.75" customHeight="1">
      <c r="B66" s="45" t="s">
        <v>64</v>
      </c>
      <c r="C66" s="48">
        <f>COUNTIF(Data!BN2:BN61,"x")</f>
        <v>8</v>
      </c>
      <c r="D66" s="46" t="str">
        <f>IF(Data!BN2="x","✓","")</f>
        <v/>
      </c>
      <c r="E66" s="46" t="str">
        <f>IF(Data!BN3="x","✓","")</f>
        <v/>
      </c>
      <c r="F66" s="46" t="str">
        <f>IF(Data!BN4="x","✓","")</f>
        <v/>
      </c>
      <c r="G66" s="46" t="str">
        <f>IF(Data!BN5="x","✓","")</f>
        <v/>
      </c>
      <c r="H66" s="46" t="str">
        <f>IF(Data!BN6="x","✓","")</f>
        <v/>
      </c>
      <c r="I66" s="46" t="str">
        <f>IF(Data!BN7="x","✓","")</f>
        <v/>
      </c>
      <c r="J66" s="46" t="str">
        <f>IF(Data!BN8="x","✓","")</f>
        <v/>
      </c>
      <c r="K66" s="46" t="str">
        <f>IF(Data!BN9="x","✓","")</f>
        <v/>
      </c>
      <c r="L66" s="46" t="str">
        <f>IF(Data!BN10="x","✓","")</f>
        <v/>
      </c>
      <c r="M66" s="46" t="str">
        <f>IF(Data!BN11="x","✓","")</f>
        <v/>
      </c>
      <c r="N66" s="46" t="str">
        <f>IF(Data!BN12="x","✓","")</f>
        <v/>
      </c>
      <c r="O66" s="46" t="str">
        <f>IF(Data!BN13="x","✓","")</f>
        <v/>
      </c>
      <c r="P66" s="46" t="str">
        <f>IF(Data!BN14="x","✓","")</f>
        <v/>
      </c>
      <c r="Q66" s="46" t="str">
        <f>IF(Data!BN15="x","✓","")</f>
        <v/>
      </c>
      <c r="R66" s="46" t="str">
        <f>IF(Data!BN16="x","✓","")</f>
        <v/>
      </c>
      <c r="S66" s="44" t="str">
        <f>IF(Data!BN17="x","✓","")</f>
        <v>✓</v>
      </c>
      <c r="T66" s="46" t="str">
        <f>IF(Data!BN18="x","✓","")</f>
        <v/>
      </c>
      <c r="U66" s="44" t="str">
        <f>IF(Data!BN19="x","✓","")</f>
        <v>✓</v>
      </c>
      <c r="V66" s="46" t="str">
        <f>IF(Data!BN20="x","✓","")</f>
        <v/>
      </c>
      <c r="W66" s="46" t="str">
        <f>IF(Data!BN21="x","✓","")</f>
        <v/>
      </c>
      <c r="X66" s="46" t="str">
        <f>IF(Data!BN22="x","✓","")</f>
        <v/>
      </c>
      <c r="Y66" s="46" t="str">
        <f>IF(Data!BN23="x","✓","")</f>
        <v/>
      </c>
      <c r="Z66" s="46" t="str">
        <f>IF(Data!BN24="x","✓","")</f>
        <v/>
      </c>
      <c r="AA66" s="46" t="str">
        <f>IF(Data!BN25="x","✓","")</f>
        <v/>
      </c>
      <c r="AB66" s="46" t="str">
        <f>IF(Data!BN26="x","✓","")</f>
        <v/>
      </c>
      <c r="AC66" s="44" t="str">
        <f>IF(Data!BN27="x","✓","")</f>
        <v>✓</v>
      </c>
      <c r="AD66" s="46" t="str">
        <f>IF(Data!BN28="x","✓","")</f>
        <v/>
      </c>
      <c r="AE66" s="46" t="str">
        <f>IF(Data!BN29="x","✓","")</f>
        <v/>
      </c>
      <c r="AF66" s="46" t="str">
        <f>IF(Data!BN30="x","✓","")</f>
        <v/>
      </c>
      <c r="AG66" s="46" t="str">
        <f>IF(Data!BN31="x","✓","")</f>
        <v/>
      </c>
      <c r="AH66" s="46" t="str">
        <f>IF(Data!BN32="x","✓","")</f>
        <v/>
      </c>
      <c r="AI66" s="44" t="str">
        <f>IF(Data!BN33="x","✓","")</f>
        <v>✓</v>
      </c>
      <c r="AJ66" s="46" t="str">
        <f>IF(Data!BN34="x","✓","")</f>
        <v/>
      </c>
      <c r="AK66" s="46" t="str">
        <f>IF(Data!BN35="x","✓","")</f>
        <v/>
      </c>
      <c r="AL66" s="47" t="str">
        <f>IF(Data!BN36="x","✓","")</f>
        <v>✓</v>
      </c>
      <c r="AM66" s="46" t="str">
        <f>IF(Data!BN37="x","✓","")</f>
        <v/>
      </c>
      <c r="AN66" s="47" t="str">
        <f>IF(Data!BN38="x","✓","")</f>
        <v>✓</v>
      </c>
      <c r="AO66" s="44" t="str">
        <f>IF(Data!BN39="x","✓","")</f>
        <v>✓</v>
      </c>
      <c r="AP66" s="46" t="str">
        <f>IF(Data!BN40="x","✓","")</f>
        <v/>
      </c>
      <c r="AQ66" s="46" t="str">
        <f>IF(Data!BN41="x","✓","")</f>
        <v/>
      </c>
      <c r="AR66" s="46" t="str">
        <f>IF(Data!BN42="x","✓","")</f>
        <v>✓</v>
      </c>
      <c r="AS66" s="46" t="str">
        <f>IF(Data!BN43="x","✓","")</f>
        <v/>
      </c>
      <c r="AT66" s="46" t="str">
        <f>IF(Data!BN44="x","✓","")</f>
        <v/>
      </c>
      <c r="AU66" s="46" t="str">
        <f>IF(Data!BN45="x","✓","")</f>
        <v/>
      </c>
      <c r="AV66" s="46" t="str">
        <f>IF(Data!BN46="x","✓","")</f>
        <v/>
      </c>
      <c r="AW66" s="46" t="str">
        <f>IF(Data!BN47="x","✓","")</f>
        <v/>
      </c>
      <c r="AX66" s="46" t="str">
        <f>IF(Data!BN48="x","✓","")</f>
        <v/>
      </c>
      <c r="AY66" s="46" t="str">
        <f>IF(Data!BN49="x","✓","")</f>
        <v/>
      </c>
      <c r="AZ66" s="46" t="str">
        <f>IF(Data!BN50="x","✓","")</f>
        <v/>
      </c>
      <c r="BA66" s="46" t="str">
        <f>IF(Data!BN51="x","✓","")</f>
        <v/>
      </c>
      <c r="BB66" s="46" t="str">
        <f>IF(Data!BN52="x","✓","")</f>
        <v/>
      </c>
      <c r="BC66" s="46" t="str">
        <f>IF(Data!BN53="x","✓","")</f>
        <v/>
      </c>
      <c r="BD66" s="46" t="str">
        <f>IF(Data!BN54="x","✓","")</f>
        <v/>
      </c>
      <c r="BE66" s="46" t="str">
        <f>IF(Data!BN55="x","✓","")</f>
        <v/>
      </c>
      <c r="BF66" s="46" t="str">
        <f>IF(Data!BN56="x","✓","")</f>
        <v/>
      </c>
      <c r="BG66" s="46" t="str">
        <f>IF(Data!BN57="x","✓","")</f>
        <v/>
      </c>
      <c r="BH66" s="46" t="str">
        <f>IF(Data!BN58="x","✓","")</f>
        <v/>
      </c>
      <c r="BI66" s="46" t="str">
        <f>IF(Data!BN59="x","✓","")</f>
        <v/>
      </c>
      <c r="BJ66" s="46" t="str">
        <f>IF(Data!BN60="x","✓","")</f>
        <v/>
      </c>
      <c r="BK66" s="46" t="str">
        <f>IF(Data!BN61="x","✓","")</f>
        <v/>
      </c>
    </row>
    <row r="67" spans="2:63" ht="15.75" customHeight="1">
      <c r="B67" s="41" t="s">
        <v>65</v>
      </c>
      <c r="C67" s="42">
        <f>COUNTIF(Data!BO2:BO61,"x")</f>
        <v>6</v>
      </c>
      <c r="D67" s="43" t="str">
        <f>IF(Data!BO2="x","✓","")</f>
        <v/>
      </c>
      <c r="E67" s="43" t="str">
        <f>IF(Data!BO3="x","✓","")</f>
        <v/>
      </c>
      <c r="F67" s="43" t="str">
        <f>IF(Data!BO4="x","✓","")</f>
        <v/>
      </c>
      <c r="G67" s="43" t="str">
        <f>IF(Data!BO5="x","✓","")</f>
        <v/>
      </c>
      <c r="H67" s="43" t="str">
        <f>IF(Data!BO6="x","✓","")</f>
        <v/>
      </c>
      <c r="I67" s="43" t="str">
        <f>IF(Data!BO7="x","✓","")</f>
        <v/>
      </c>
      <c r="J67" s="43" t="str">
        <f>IF(Data!BO8="x","✓","")</f>
        <v/>
      </c>
      <c r="K67" s="43" t="str">
        <f>IF(Data!BO9="x","✓","")</f>
        <v/>
      </c>
      <c r="L67" s="43" t="str">
        <f>IF(Data!BO10="x","✓","")</f>
        <v/>
      </c>
      <c r="M67" s="43" t="str">
        <f>IF(Data!BO11="x","✓","")</f>
        <v/>
      </c>
      <c r="N67" s="43" t="str">
        <f>IF(Data!BO12="x","✓","")</f>
        <v/>
      </c>
      <c r="O67" s="43" t="str">
        <f>IF(Data!BO13="x","✓","")</f>
        <v/>
      </c>
      <c r="P67" s="43" t="str">
        <f>IF(Data!BO14="x","✓","")</f>
        <v/>
      </c>
      <c r="Q67" s="43" t="str">
        <f>IF(Data!BO15="x","✓","")</f>
        <v/>
      </c>
      <c r="R67" s="43" t="str">
        <f>IF(Data!BO16="x","✓","")</f>
        <v/>
      </c>
      <c r="S67" s="44" t="str">
        <f>IF(Data!BO17="x","✓","")</f>
        <v>✓</v>
      </c>
      <c r="T67" s="43" t="str">
        <f>IF(Data!BO18="x","✓","")</f>
        <v/>
      </c>
      <c r="U67" s="43" t="str">
        <f>IF(Data!BO19="x","✓","")</f>
        <v/>
      </c>
      <c r="V67" s="43" t="str">
        <f>IF(Data!BO20="x","✓","")</f>
        <v/>
      </c>
      <c r="W67" s="43" t="str">
        <f>IF(Data!BO21="x","✓","")</f>
        <v/>
      </c>
      <c r="X67" s="43" t="str">
        <f>IF(Data!BO22="x","✓","")</f>
        <v/>
      </c>
      <c r="Y67" s="43" t="str">
        <f>IF(Data!BO23="x","✓","")</f>
        <v/>
      </c>
      <c r="Z67" s="43" t="str">
        <f>IF(Data!BO24="x","✓","")</f>
        <v/>
      </c>
      <c r="AA67" s="43" t="str">
        <f>IF(Data!BO25="x","✓","")</f>
        <v/>
      </c>
      <c r="AB67" s="43" t="str">
        <f>IF(Data!BO26="x","✓","")</f>
        <v/>
      </c>
      <c r="AC67" s="44" t="str">
        <f>IF(Data!BO27="x","✓","")</f>
        <v>✓</v>
      </c>
      <c r="AD67" s="43" t="str">
        <f>IF(Data!BO28="x","✓","")</f>
        <v/>
      </c>
      <c r="AE67" s="43" t="str">
        <f>IF(Data!BO29="x","✓","")</f>
        <v/>
      </c>
      <c r="AF67" s="43" t="str">
        <f>IF(Data!BO30="x","✓","")</f>
        <v/>
      </c>
      <c r="AG67" s="43" t="str">
        <f>IF(Data!BO31="x","✓","")</f>
        <v/>
      </c>
      <c r="AH67" s="43" t="str">
        <f>IF(Data!BO32="x","✓","")</f>
        <v/>
      </c>
      <c r="AI67" s="44" t="str">
        <f>IF(Data!BO33="x","✓","")</f>
        <v>✓</v>
      </c>
      <c r="AJ67" s="43" t="str">
        <f>IF(Data!BO34="x","✓","")</f>
        <v/>
      </c>
      <c r="AK67" s="43" t="str">
        <f>IF(Data!BO35="x","✓","")</f>
        <v/>
      </c>
      <c r="AL67" s="43" t="str">
        <f>IF(Data!BO36="x","✓","")</f>
        <v/>
      </c>
      <c r="AM67" s="44" t="str">
        <f>IF(Data!BO37="x","✓","")</f>
        <v>✓</v>
      </c>
      <c r="AN67" s="43" t="str">
        <f>IF(Data!BO38="x","✓","")</f>
        <v/>
      </c>
      <c r="AO67" s="43" t="str">
        <f>IF(Data!BO39="x","✓","")</f>
        <v/>
      </c>
      <c r="AP67" s="43" t="str">
        <f>IF(Data!BO40="x","✓","")</f>
        <v/>
      </c>
      <c r="AQ67" s="44" t="str">
        <f>IF(Data!BO41="x","✓","")</f>
        <v>✓</v>
      </c>
      <c r="AR67" s="43" t="str">
        <f>IF(Data!BO42="x","✓","")</f>
        <v>✓</v>
      </c>
      <c r="AS67" s="43" t="str">
        <f>IF(Data!BO43="x","✓","")</f>
        <v/>
      </c>
      <c r="AT67" s="43" t="str">
        <f>IF(Data!BO44="x","✓","")</f>
        <v/>
      </c>
      <c r="AU67" s="43" t="str">
        <f>IF(Data!BO45="x","✓","")</f>
        <v/>
      </c>
      <c r="AV67" s="43" t="str">
        <f>IF(Data!BO46="x","✓","")</f>
        <v/>
      </c>
      <c r="AW67" s="43" t="str">
        <f>IF(Data!BO47="x","✓","")</f>
        <v/>
      </c>
      <c r="AX67" s="43" t="str">
        <f>IF(Data!BO48="x","✓","")</f>
        <v/>
      </c>
      <c r="AY67" s="43" t="str">
        <f>IF(Data!BO49="x","✓","")</f>
        <v/>
      </c>
      <c r="AZ67" s="43" t="str">
        <f>IF(Data!BO50="x","✓","")</f>
        <v/>
      </c>
      <c r="BA67" s="43" t="str">
        <f>IF(Data!BO51="x","✓","")</f>
        <v/>
      </c>
      <c r="BB67" s="43" t="str">
        <f>IF(Data!BO52="x","✓","")</f>
        <v/>
      </c>
      <c r="BC67" s="43" t="str">
        <f>IF(Data!BO53="x","✓","")</f>
        <v/>
      </c>
      <c r="BD67" s="43" t="str">
        <f>IF(Data!BO54="x","✓","")</f>
        <v/>
      </c>
      <c r="BE67" s="43" t="str">
        <f>IF(Data!BO55="x","✓","")</f>
        <v/>
      </c>
      <c r="BF67" s="43" t="str">
        <f>IF(Data!BO56="x","✓","")</f>
        <v/>
      </c>
      <c r="BG67" s="43" t="str">
        <f>IF(Data!BO57="x","✓","")</f>
        <v/>
      </c>
      <c r="BH67" s="43" t="str">
        <f>IF(Data!BO58="x","✓","")</f>
        <v/>
      </c>
      <c r="BI67" s="43" t="str">
        <f>IF(Data!BO59="x","✓","")</f>
        <v/>
      </c>
      <c r="BJ67" s="43" t="str">
        <f>IF(Data!BO60="x","✓","")</f>
        <v/>
      </c>
      <c r="BK67" s="43" t="str">
        <f>IF(Data!BO61="x","✓","")</f>
        <v/>
      </c>
    </row>
    <row r="68" spans="2:63" ht="15.75" customHeight="1">
      <c r="B68" s="45" t="s">
        <v>66</v>
      </c>
      <c r="C68" s="51">
        <f>COUNTIF(Data!BP2:BP61,"x")</f>
        <v>3</v>
      </c>
      <c r="D68" s="46" t="str">
        <f>IF(Data!BP2="x","✓","")</f>
        <v/>
      </c>
      <c r="E68" s="46" t="str">
        <f>IF(Data!BP3="x","✓","")</f>
        <v/>
      </c>
      <c r="F68" s="46" t="str">
        <f>IF(Data!BP4="x","✓","")</f>
        <v/>
      </c>
      <c r="G68" s="46" t="str">
        <f>IF(Data!BP5="x","✓","")</f>
        <v/>
      </c>
      <c r="H68" s="46" t="str">
        <f>IF(Data!BP6="x","✓","")</f>
        <v/>
      </c>
      <c r="I68" s="46" t="str">
        <f>IF(Data!BP7="x","✓","")</f>
        <v/>
      </c>
      <c r="J68" s="46" t="str">
        <f>IF(Data!BP8="x","✓","")</f>
        <v/>
      </c>
      <c r="K68" s="46" t="str">
        <f>IF(Data!BP9="x","✓","")</f>
        <v/>
      </c>
      <c r="L68" s="46" t="str">
        <f>IF(Data!BP10="x","✓","")</f>
        <v/>
      </c>
      <c r="M68" s="46" t="str">
        <f>IF(Data!BP11="x","✓","")</f>
        <v/>
      </c>
      <c r="N68" s="46" t="str">
        <f>IF(Data!BP12="x","✓","")</f>
        <v/>
      </c>
      <c r="O68" s="46" t="str">
        <f>IF(Data!BP13="x","✓","")</f>
        <v/>
      </c>
      <c r="P68" s="46" t="str">
        <f>IF(Data!BP14="x","✓","")</f>
        <v/>
      </c>
      <c r="Q68" s="46" t="str">
        <f>IF(Data!BP15="x","✓","")</f>
        <v/>
      </c>
      <c r="R68" s="46" t="str">
        <f>IF(Data!BP16="x","✓","")</f>
        <v/>
      </c>
      <c r="S68" s="46" t="str">
        <f>IF(Data!BP17="x","✓","")</f>
        <v/>
      </c>
      <c r="T68" s="46" t="str">
        <f>IF(Data!BP18="x","✓","")</f>
        <v/>
      </c>
      <c r="U68" s="46" t="str">
        <f>IF(Data!BP19="x","✓","")</f>
        <v/>
      </c>
      <c r="V68" s="46" t="str">
        <f>IF(Data!BP20="x","✓","")</f>
        <v/>
      </c>
      <c r="W68" s="46" t="str">
        <f>IF(Data!BP21="x","✓","")</f>
        <v/>
      </c>
      <c r="X68" s="46" t="str">
        <f>IF(Data!BP22="x","✓","")</f>
        <v/>
      </c>
      <c r="Y68" s="46" t="str">
        <f>IF(Data!BP23="x","✓","")</f>
        <v/>
      </c>
      <c r="Z68" s="46" t="str">
        <f>IF(Data!BP24="x","✓","")</f>
        <v/>
      </c>
      <c r="AA68" s="46" t="str">
        <f>IF(Data!BP25="x","✓","")</f>
        <v/>
      </c>
      <c r="AB68" s="46" t="str">
        <f>IF(Data!BP26="x","✓","")</f>
        <v/>
      </c>
      <c r="AC68" s="46" t="str">
        <f>IF(Data!BP27="x","✓","")</f>
        <v/>
      </c>
      <c r="AD68" s="46" t="str">
        <f>IF(Data!BP28="x","✓","")</f>
        <v/>
      </c>
      <c r="AE68" s="44" t="str">
        <f>IF(Data!BP29="x","✓","")</f>
        <v>✓</v>
      </c>
      <c r="AF68" s="46" t="str">
        <f>IF(Data!BP30="x","✓","")</f>
        <v/>
      </c>
      <c r="AG68" s="46" t="str">
        <f>IF(Data!BP31="x","✓","")</f>
        <v/>
      </c>
      <c r="AH68" s="46" t="str">
        <f>IF(Data!BP32="x","✓","")</f>
        <v/>
      </c>
      <c r="AI68" s="46" t="str">
        <f>IF(Data!BP33="x","✓","")</f>
        <v/>
      </c>
      <c r="AJ68" s="46" t="str">
        <f>IF(Data!BP34="x","✓","")</f>
        <v/>
      </c>
      <c r="AK68" s="46" t="str">
        <f>IF(Data!BP35="x","✓","")</f>
        <v/>
      </c>
      <c r="AL68" s="47" t="str">
        <f>IF(Data!BP36="x","✓","")</f>
        <v>✓</v>
      </c>
      <c r="AM68" s="46" t="str">
        <f>IF(Data!BP37="x","✓","")</f>
        <v/>
      </c>
      <c r="AN68" s="46" t="str">
        <f>IF(Data!BP38="x","✓","")</f>
        <v/>
      </c>
      <c r="AO68" s="46" t="str">
        <f>IF(Data!BP39="x","✓","")</f>
        <v/>
      </c>
      <c r="AP68" s="46" t="str">
        <f>IF(Data!BP40="x","✓","")</f>
        <v/>
      </c>
      <c r="AQ68" s="46" t="str">
        <f>IF(Data!BP41="x","✓","")</f>
        <v/>
      </c>
      <c r="AR68" s="46" t="str">
        <f>IF(Data!BP42="x","✓","")</f>
        <v>✓</v>
      </c>
      <c r="AS68" s="46" t="str">
        <f>IF(Data!BP43="x","✓","")</f>
        <v/>
      </c>
      <c r="AT68" s="46" t="str">
        <f>IF(Data!BP44="x","✓","")</f>
        <v/>
      </c>
      <c r="AU68" s="46" t="str">
        <f>IF(Data!BP45="x","✓","")</f>
        <v/>
      </c>
      <c r="AV68" s="46" t="str">
        <f>IF(Data!BP46="x","✓","")</f>
        <v/>
      </c>
      <c r="AW68" s="46" t="str">
        <f>IF(Data!BP47="x","✓","")</f>
        <v/>
      </c>
      <c r="AX68" s="46" t="str">
        <f>IF(Data!BP48="x","✓","")</f>
        <v/>
      </c>
      <c r="AY68" s="46" t="str">
        <f>IF(Data!BP49="x","✓","")</f>
        <v/>
      </c>
      <c r="AZ68" s="46" t="str">
        <f>IF(Data!BP50="x","✓","")</f>
        <v/>
      </c>
      <c r="BA68" s="46" t="str">
        <f>IF(Data!BP51="x","✓","")</f>
        <v/>
      </c>
      <c r="BB68" s="46" t="str">
        <f>IF(Data!BP52="x","✓","")</f>
        <v/>
      </c>
      <c r="BC68" s="46" t="str">
        <f>IF(Data!BP53="x","✓","")</f>
        <v/>
      </c>
      <c r="BD68" s="46" t="str">
        <f>IF(Data!BP54="x","✓","")</f>
        <v/>
      </c>
      <c r="BE68" s="46" t="str">
        <f>IF(Data!BP55="x","✓","")</f>
        <v/>
      </c>
      <c r="BF68" s="46" t="str">
        <f>IF(Data!BP56="x","✓","")</f>
        <v/>
      </c>
      <c r="BG68" s="46" t="str">
        <f>IF(Data!BP57="x","✓","")</f>
        <v/>
      </c>
      <c r="BH68" s="46" t="str">
        <f>IF(Data!BP58="x","✓","")</f>
        <v/>
      </c>
      <c r="BI68" s="46" t="str">
        <f>IF(Data!BP59="x","✓","")</f>
        <v/>
      </c>
      <c r="BJ68" s="46" t="str">
        <f>IF(Data!BP60="x","✓","")</f>
        <v/>
      </c>
      <c r="BK68" s="46" t="str">
        <f>IF(Data!BP61="x","✓","")</f>
        <v/>
      </c>
    </row>
    <row r="69" spans="2:63" ht="15.75" customHeight="1">
      <c r="B69" s="41" t="s">
        <v>67</v>
      </c>
      <c r="C69" s="49">
        <f>COUNTIF(Data!BQ2:BQ61,"x")</f>
        <v>11</v>
      </c>
      <c r="D69" s="47" t="str">
        <f>IF(Data!BQ2="x","✓","")</f>
        <v>✓</v>
      </c>
      <c r="E69" s="44" t="str">
        <f>IF(Data!BQ3="x","✓","")</f>
        <v>✓</v>
      </c>
      <c r="F69" s="43" t="str">
        <f>IF(Data!BQ4="x","✓","")</f>
        <v/>
      </c>
      <c r="G69" s="43" t="str">
        <f>IF(Data!BQ5="x","✓","")</f>
        <v/>
      </c>
      <c r="H69" s="43" t="str">
        <f>IF(Data!BQ6="x","✓","")</f>
        <v/>
      </c>
      <c r="I69" s="43" t="str">
        <f>IF(Data!BQ7="x","✓","")</f>
        <v/>
      </c>
      <c r="J69" s="43" t="str">
        <f>IF(Data!BQ8="x","✓","")</f>
        <v/>
      </c>
      <c r="K69" s="43" t="str">
        <f>IF(Data!BQ9="x","✓","")</f>
        <v/>
      </c>
      <c r="L69" s="43" t="str">
        <f>IF(Data!BQ10="x","✓","")</f>
        <v/>
      </c>
      <c r="M69" s="43" t="str">
        <f>IF(Data!BQ11="x","✓","")</f>
        <v/>
      </c>
      <c r="N69" s="43" t="str">
        <f>IF(Data!BQ12="x","✓","")</f>
        <v/>
      </c>
      <c r="O69" s="43" t="str">
        <f>IF(Data!BQ13="x","✓","")</f>
        <v/>
      </c>
      <c r="P69" s="43" t="str">
        <f>IF(Data!BQ14="x","✓","")</f>
        <v/>
      </c>
      <c r="Q69" s="43" t="str">
        <f>IF(Data!BQ15="x","✓","")</f>
        <v/>
      </c>
      <c r="R69" s="43" t="str">
        <f>IF(Data!BQ16="x","✓","")</f>
        <v/>
      </c>
      <c r="S69" s="43" t="str">
        <f>IF(Data!BQ17="x","✓","")</f>
        <v/>
      </c>
      <c r="T69" s="43" t="str">
        <f>IF(Data!BQ18="x","✓","")</f>
        <v/>
      </c>
      <c r="U69" s="43" t="str">
        <f>IF(Data!BQ19="x","✓","")</f>
        <v/>
      </c>
      <c r="V69" s="47" t="str">
        <f>IF(Data!BQ20="x","✓","")</f>
        <v>✓</v>
      </c>
      <c r="W69" s="44" t="str">
        <f>IF(Data!BQ21="x","✓","")</f>
        <v>✓</v>
      </c>
      <c r="X69" s="43" t="str">
        <f>IF(Data!BQ22="x","✓","")</f>
        <v/>
      </c>
      <c r="Y69" s="44" t="str">
        <f>IF(Data!BQ23="x","✓","")</f>
        <v/>
      </c>
      <c r="Z69" s="43" t="str">
        <f>IF(Data!BQ24="x","✓","")</f>
        <v/>
      </c>
      <c r="AA69" s="44" t="str">
        <f>IF(Data!BQ25="x","✓","")</f>
        <v>✓</v>
      </c>
      <c r="AB69" s="47" t="str">
        <f>IF(Data!BQ26="x","✓","")</f>
        <v>✓</v>
      </c>
      <c r="AC69" s="43" t="str">
        <f>IF(Data!BQ27="x","✓","")</f>
        <v/>
      </c>
      <c r="AD69" s="47" t="str">
        <f>IF(Data!BQ28="x","✓","")</f>
        <v>✓</v>
      </c>
      <c r="AE69" s="43" t="str">
        <f>IF(Data!BQ29="x","✓","")</f>
        <v/>
      </c>
      <c r="AF69" s="43" t="str">
        <f>IF(Data!BQ30="x","✓","")</f>
        <v/>
      </c>
      <c r="AG69" s="44" t="str">
        <f>IF(Data!BQ31="x","✓","")</f>
        <v>✓</v>
      </c>
      <c r="AH69" s="43" t="str">
        <f>IF(Data!BQ32="x","✓","")</f>
        <v/>
      </c>
      <c r="AI69" s="43" t="str">
        <f>IF(Data!BQ33="x","✓","")</f>
        <v/>
      </c>
      <c r="AJ69" s="43" t="str">
        <f>IF(Data!BQ34="x","✓","")</f>
        <v/>
      </c>
      <c r="AK69" s="43" t="str">
        <f>IF(Data!BQ35="x","✓","")</f>
        <v/>
      </c>
      <c r="AL69" s="43" t="str">
        <f>IF(Data!BQ36="x","✓","")</f>
        <v/>
      </c>
      <c r="AM69" s="44" t="str">
        <f>IF(Data!BQ37="x","✓","")</f>
        <v>✓</v>
      </c>
      <c r="AN69" s="43" t="str">
        <f>IF(Data!BQ38="x","✓","")</f>
        <v/>
      </c>
      <c r="AO69" s="43" t="str">
        <f>IF(Data!BQ39="x","✓","")</f>
        <v/>
      </c>
      <c r="AP69" s="47" t="str">
        <f>IF(Data!BQ40="x","✓","")</f>
        <v>✓</v>
      </c>
      <c r="AQ69" s="43" t="str">
        <f>IF(Data!BQ41="x","✓","")</f>
        <v/>
      </c>
      <c r="AR69" s="43" t="str">
        <f>IF(Data!BQ42="x","✓","")</f>
        <v>✓</v>
      </c>
      <c r="AS69" s="43" t="str">
        <f>IF(Data!BQ43="x","✓","")</f>
        <v/>
      </c>
      <c r="AT69" s="43" t="str">
        <f>IF(Data!BQ44="x","✓","")</f>
        <v/>
      </c>
      <c r="AU69" s="43" t="str">
        <f>IF(Data!BQ45="x","✓","")</f>
        <v/>
      </c>
      <c r="AV69" s="43" t="str">
        <f>IF(Data!BQ46="x","✓","")</f>
        <v/>
      </c>
      <c r="AW69" s="43" t="str">
        <f>IF(Data!BQ47="x","✓","")</f>
        <v/>
      </c>
      <c r="AX69" s="43" t="str">
        <f>IF(Data!BQ48="x","✓","")</f>
        <v/>
      </c>
      <c r="AY69" s="43" t="str">
        <f>IF(Data!BQ49="x","✓","")</f>
        <v/>
      </c>
      <c r="AZ69" s="43" t="str">
        <f>IF(Data!BQ50="x","✓","")</f>
        <v/>
      </c>
      <c r="BA69" s="43" t="str">
        <f>IF(Data!BQ51="x","✓","")</f>
        <v/>
      </c>
      <c r="BB69" s="43" t="str">
        <f>IF(Data!BQ52="x","✓","")</f>
        <v/>
      </c>
      <c r="BC69" s="43" t="str">
        <f>IF(Data!BQ53="x","✓","")</f>
        <v/>
      </c>
      <c r="BD69" s="43" t="str">
        <f>IF(Data!BQ54="x","✓","")</f>
        <v/>
      </c>
      <c r="BE69" s="43" t="str">
        <f>IF(Data!BQ55="x","✓","")</f>
        <v/>
      </c>
      <c r="BF69" s="43" t="str">
        <f>IF(Data!BQ56="x","✓","")</f>
        <v/>
      </c>
      <c r="BG69" s="43" t="str">
        <f>IF(Data!BQ57="x","✓","")</f>
        <v/>
      </c>
      <c r="BH69" s="43" t="str">
        <f>IF(Data!BQ58="x","✓","")</f>
        <v/>
      </c>
      <c r="BI69" s="43" t="str">
        <f>IF(Data!BQ59="x","✓","")</f>
        <v/>
      </c>
      <c r="BJ69" s="43" t="str">
        <f>IF(Data!BQ60="x","✓","")</f>
        <v/>
      </c>
      <c r="BK69" s="43" t="str">
        <f>IF(Data!BQ61="x","✓","")</f>
        <v/>
      </c>
    </row>
    <row r="70" spans="2:63" ht="15.75" customHeight="1">
      <c r="B70" s="45" t="s">
        <v>68</v>
      </c>
      <c r="C70" s="42">
        <f>COUNTIF(Data!BR2:BR61,"x")</f>
        <v>5</v>
      </c>
      <c r="D70" s="46" t="str">
        <f>IF(Data!BR2="x","✓","")</f>
        <v/>
      </c>
      <c r="E70" s="46" t="str">
        <f>IF(Data!BR3="x","✓","")</f>
        <v/>
      </c>
      <c r="F70" s="46" t="str">
        <f>IF(Data!BR4="x","✓","")</f>
        <v/>
      </c>
      <c r="G70" s="46" t="str">
        <f>IF(Data!BR5="x","✓","")</f>
        <v/>
      </c>
      <c r="H70" s="46" t="str">
        <f>IF(Data!BR6="x","✓","")</f>
        <v/>
      </c>
      <c r="I70" s="46" t="str">
        <f>IF(Data!BR7="x","✓","")</f>
        <v/>
      </c>
      <c r="J70" s="46" t="str">
        <f>IF(Data!BR8="x","✓","")</f>
        <v/>
      </c>
      <c r="K70" s="46" t="str">
        <f>IF(Data!BR9="x","✓","")</f>
        <v/>
      </c>
      <c r="L70" s="46" t="str">
        <f>IF(Data!BR10="x","✓","")</f>
        <v/>
      </c>
      <c r="M70" s="46" t="str">
        <f>IF(Data!BR11="x","✓","")</f>
        <v/>
      </c>
      <c r="N70" s="46" t="str">
        <f>IF(Data!BR12="x","✓","")</f>
        <v/>
      </c>
      <c r="O70" s="46" t="str">
        <f>IF(Data!BR13="x","✓","")</f>
        <v/>
      </c>
      <c r="P70" s="46" t="str">
        <f>IF(Data!BR14="x","✓","")</f>
        <v/>
      </c>
      <c r="Q70" s="46" t="str">
        <f>IF(Data!BR15="x","✓","")</f>
        <v/>
      </c>
      <c r="R70" s="46" t="str">
        <f>IF(Data!BR16="x","✓","")</f>
        <v/>
      </c>
      <c r="S70" s="46" t="str">
        <f>IF(Data!BR17="x","✓","")</f>
        <v/>
      </c>
      <c r="T70" s="46" t="str">
        <f>IF(Data!BR18="x","✓","")</f>
        <v/>
      </c>
      <c r="U70" s="46" t="str">
        <f>IF(Data!BR19="x","✓","")</f>
        <v/>
      </c>
      <c r="V70" s="46" t="str">
        <f>IF(Data!BR20="x","✓","")</f>
        <v/>
      </c>
      <c r="W70" s="46" t="str">
        <f>IF(Data!BR21="x","✓","")</f>
        <v/>
      </c>
      <c r="X70" s="46" t="str">
        <f>IF(Data!BR22="x","✓","")</f>
        <v/>
      </c>
      <c r="Y70" s="46" t="str">
        <f>IF(Data!BR23="x","✓","")</f>
        <v/>
      </c>
      <c r="Z70" s="46" t="str">
        <f>IF(Data!BR24="x","✓","")</f>
        <v/>
      </c>
      <c r="AA70" s="46" t="str">
        <f>IF(Data!BR25="x","✓","")</f>
        <v/>
      </c>
      <c r="AB70" s="46" t="str">
        <f>IF(Data!BR26="x","✓","")</f>
        <v/>
      </c>
      <c r="AC70" s="46" t="str">
        <f>IF(Data!BR27="x","✓","")</f>
        <v/>
      </c>
      <c r="AD70" s="46" t="str">
        <f>IF(Data!BR28="x","✓","")</f>
        <v/>
      </c>
      <c r="AE70" s="44" t="str">
        <f>IF(Data!BR29="x","✓","")</f>
        <v>✓</v>
      </c>
      <c r="AF70" s="46" t="str">
        <f>IF(Data!BR30="x","✓","")</f>
        <v/>
      </c>
      <c r="AG70" s="46" t="str">
        <f>IF(Data!BR31="x","✓","")</f>
        <v/>
      </c>
      <c r="AH70" s="46" t="str">
        <f>IF(Data!BR32="x","✓","")</f>
        <v/>
      </c>
      <c r="AI70" s="46" t="str">
        <f>IF(Data!BR33="x","✓","")</f>
        <v/>
      </c>
      <c r="AJ70" s="46" t="str">
        <f>IF(Data!BR34="x","✓","")</f>
        <v/>
      </c>
      <c r="AK70" s="46" t="str">
        <f>IF(Data!BR35="x","✓","")</f>
        <v/>
      </c>
      <c r="AL70" s="47" t="str">
        <f>IF(Data!BR36="x","✓","")</f>
        <v>✓</v>
      </c>
      <c r="AM70" s="46" t="str">
        <f>IF(Data!BR37="x","✓","")</f>
        <v/>
      </c>
      <c r="AN70" s="47" t="str">
        <f>IF(Data!BR38="x","✓","")</f>
        <v>✓</v>
      </c>
      <c r="AO70" s="44" t="str">
        <f>IF(Data!BR39="x","✓","")</f>
        <v>✓</v>
      </c>
      <c r="AP70" s="46" t="str">
        <f>IF(Data!BR40="x","✓","")</f>
        <v/>
      </c>
      <c r="AQ70" s="46" t="str">
        <f>IF(Data!BR41="x","✓","")</f>
        <v/>
      </c>
      <c r="AR70" s="46" t="str">
        <f>IF(Data!BR42="x","✓","")</f>
        <v>✓</v>
      </c>
      <c r="AS70" s="46" t="str">
        <f>IF(Data!BR43="x","✓","")</f>
        <v/>
      </c>
      <c r="AT70" s="46" t="str">
        <f>IF(Data!BR44="x","✓","")</f>
        <v/>
      </c>
      <c r="AU70" s="46" t="str">
        <f>IF(Data!BR45="x","✓","")</f>
        <v/>
      </c>
      <c r="AV70" s="46" t="str">
        <f>IF(Data!BR46="x","✓","")</f>
        <v/>
      </c>
      <c r="AW70" s="46" t="str">
        <f>IF(Data!BR47="x","✓","")</f>
        <v/>
      </c>
      <c r="AX70" s="46" t="str">
        <f>IF(Data!BR48="x","✓","")</f>
        <v/>
      </c>
      <c r="AY70" s="46" t="str">
        <f>IF(Data!BR49="x","✓","")</f>
        <v/>
      </c>
      <c r="AZ70" s="46" t="str">
        <f>IF(Data!BR50="x","✓","")</f>
        <v/>
      </c>
      <c r="BA70" s="46" t="str">
        <f>IF(Data!BR51="x","✓","")</f>
        <v/>
      </c>
      <c r="BB70" s="46" t="str">
        <f>IF(Data!BR52="x","✓","")</f>
        <v/>
      </c>
      <c r="BC70" s="46" t="str">
        <f>IF(Data!BR53="x","✓","")</f>
        <v/>
      </c>
      <c r="BD70" s="46" t="str">
        <f>IF(Data!BR54="x","✓","")</f>
        <v/>
      </c>
      <c r="BE70" s="46" t="str">
        <f>IF(Data!BR55="x","✓","")</f>
        <v/>
      </c>
      <c r="BF70" s="46" t="str">
        <f>IF(Data!BR56="x","✓","")</f>
        <v/>
      </c>
      <c r="BG70" s="46" t="str">
        <f>IF(Data!BR57="x","✓","")</f>
        <v/>
      </c>
      <c r="BH70" s="46" t="str">
        <f>IF(Data!BR58="x","✓","")</f>
        <v/>
      </c>
      <c r="BI70" s="46" t="str">
        <f>IF(Data!BR59="x","✓","")</f>
        <v/>
      </c>
      <c r="BJ70" s="46" t="str">
        <f>IF(Data!BR60="x","✓","")</f>
        <v/>
      </c>
      <c r="BK70" s="46" t="str">
        <f>IF(Data!BR61="x","✓","")</f>
        <v/>
      </c>
    </row>
    <row r="71" spans="2:63" ht="15.75" customHeight="1">
      <c r="B71" s="41" t="s">
        <v>69</v>
      </c>
      <c r="C71" s="49">
        <f>COUNTIF(Data!BS2:BS61,"x")</f>
        <v>14</v>
      </c>
      <c r="D71" s="47" t="str">
        <f>IF(Data!BS2="x","✓","")</f>
        <v>✓</v>
      </c>
      <c r="E71" s="44" t="str">
        <f>IF(Data!BS3="x","✓","")</f>
        <v>✓</v>
      </c>
      <c r="F71" s="43" t="str">
        <f>IF(Data!BS4="x","✓","")</f>
        <v/>
      </c>
      <c r="G71" s="43" t="str">
        <f>IF(Data!BS5="x","✓","")</f>
        <v/>
      </c>
      <c r="H71" s="43" t="str">
        <f>IF(Data!BS6="x","✓","")</f>
        <v/>
      </c>
      <c r="I71" s="43" t="str">
        <f>IF(Data!BS7="x","✓","")</f>
        <v/>
      </c>
      <c r="J71" s="43" t="str">
        <f>IF(Data!BS8="x","✓","")</f>
        <v/>
      </c>
      <c r="K71" s="43" t="str">
        <f>IF(Data!BS9="x","✓","")</f>
        <v/>
      </c>
      <c r="L71" s="43" t="str">
        <f>IF(Data!BS10="x","✓","")</f>
        <v/>
      </c>
      <c r="M71" s="43" t="str">
        <f>IF(Data!BS11="x","✓","")</f>
        <v/>
      </c>
      <c r="N71" s="43" t="str">
        <f>IF(Data!BS12="x","✓","")</f>
        <v/>
      </c>
      <c r="O71" s="43" t="str">
        <f>IF(Data!BS13="x","✓","")</f>
        <v/>
      </c>
      <c r="P71" s="43" t="str">
        <f>IF(Data!BS14="x","✓","")</f>
        <v/>
      </c>
      <c r="Q71" s="43" t="str">
        <f>IF(Data!BS15="x","✓","")</f>
        <v/>
      </c>
      <c r="R71" s="43" t="str">
        <f>IF(Data!BS16="x","✓","")</f>
        <v>✓</v>
      </c>
      <c r="S71" s="43" t="str">
        <f>IF(Data!BS17="x","✓","")</f>
        <v/>
      </c>
      <c r="T71" s="43" t="str">
        <f>IF(Data!BS18="x","✓","")</f>
        <v/>
      </c>
      <c r="U71" s="44" t="str">
        <f>IF(Data!BS19="x","✓","")</f>
        <v>✓</v>
      </c>
      <c r="V71" s="43" t="str">
        <f>IF(Data!BS20="x","✓","")</f>
        <v/>
      </c>
      <c r="W71" s="44" t="str">
        <f>IF(Data!BS21="x","✓","")</f>
        <v>✓</v>
      </c>
      <c r="X71" s="43" t="str">
        <f>IF(Data!BS22="x","✓","")</f>
        <v/>
      </c>
      <c r="Y71" s="44" t="str">
        <f>IF(Data!BS23="x","✓","")</f>
        <v/>
      </c>
      <c r="Z71" s="47" t="str">
        <f>IF(Data!BS24="x","✓","")</f>
        <v>✓</v>
      </c>
      <c r="AA71" s="44" t="str">
        <f>IF(Data!BS25="x","✓","")</f>
        <v>✓</v>
      </c>
      <c r="AB71" s="47" t="str">
        <f>IF(Data!BS26="x","✓","")</f>
        <v>✓</v>
      </c>
      <c r="AC71" s="43" t="str">
        <f>IF(Data!BS27="x","✓","")</f>
        <v/>
      </c>
      <c r="AD71" s="47" t="str">
        <f>IF(Data!BS28="x","✓","")</f>
        <v>✓</v>
      </c>
      <c r="AE71" s="43" t="str">
        <f>IF(Data!BS29="x","✓","")</f>
        <v/>
      </c>
      <c r="AF71" s="43" t="str">
        <f>IF(Data!BS30="x","✓","")</f>
        <v/>
      </c>
      <c r="AG71" s="44" t="str">
        <f>IF(Data!BS31="x","✓","")</f>
        <v>✓</v>
      </c>
      <c r="AH71" s="43" t="str">
        <f>IF(Data!BS32="x","✓","")</f>
        <v/>
      </c>
      <c r="AI71" s="43" t="str">
        <f>IF(Data!BS33="x","✓","")</f>
        <v/>
      </c>
      <c r="AJ71" s="43" t="str">
        <f>IF(Data!BS34="x","✓","")</f>
        <v/>
      </c>
      <c r="AK71" s="44" t="str">
        <f>IF(Data!BS35="x","✓","")</f>
        <v>✓</v>
      </c>
      <c r="AL71" s="43" t="str">
        <f>IF(Data!BS36="x","✓","")</f>
        <v/>
      </c>
      <c r="AM71" s="44" t="str">
        <f>IF(Data!BS37="x","✓","")</f>
        <v>✓</v>
      </c>
      <c r="AN71" s="43" t="str">
        <f>IF(Data!BS38="x","✓","")</f>
        <v/>
      </c>
      <c r="AO71" s="43" t="str">
        <f>IF(Data!BS39="x","✓","")</f>
        <v/>
      </c>
      <c r="AP71" s="47" t="str">
        <f>IF(Data!BS40="x","✓","")</f>
        <v>✓</v>
      </c>
      <c r="AQ71" s="43" t="str">
        <f>IF(Data!BS41="x","✓","")</f>
        <v/>
      </c>
      <c r="AR71" s="43" t="str">
        <f>IF(Data!BS42="x","✓","")</f>
        <v>✓</v>
      </c>
      <c r="AS71" s="43" t="str">
        <f>IF(Data!BS43="x","✓","")</f>
        <v/>
      </c>
      <c r="AT71" s="43" t="str">
        <f>IF(Data!BS44="x","✓","")</f>
        <v/>
      </c>
      <c r="AU71" s="43" t="str">
        <f>IF(Data!BS45="x","✓","")</f>
        <v/>
      </c>
      <c r="AV71" s="43" t="str">
        <f>IF(Data!BS46="x","✓","")</f>
        <v/>
      </c>
      <c r="AW71" s="43" t="str">
        <f>IF(Data!BS47="x","✓","")</f>
        <v/>
      </c>
      <c r="AX71" s="43" t="str">
        <f>IF(Data!BS48="x","✓","")</f>
        <v/>
      </c>
      <c r="AY71" s="43" t="str">
        <f>IF(Data!BS49="x","✓","")</f>
        <v/>
      </c>
      <c r="AZ71" s="43" t="str">
        <f>IF(Data!BS50="x","✓","")</f>
        <v/>
      </c>
      <c r="BA71" s="43" t="str">
        <f>IF(Data!BS51="x","✓","")</f>
        <v/>
      </c>
      <c r="BB71" s="43" t="str">
        <f>IF(Data!BS52="x","✓","")</f>
        <v/>
      </c>
      <c r="BC71" s="43" t="str">
        <f>IF(Data!BS53="x","✓","")</f>
        <v/>
      </c>
      <c r="BD71" s="43" t="str">
        <f>IF(Data!BS54="x","✓","")</f>
        <v/>
      </c>
      <c r="BE71" s="43" t="str">
        <f>IF(Data!BS55="x","✓","")</f>
        <v/>
      </c>
      <c r="BF71" s="43" t="str">
        <f>IF(Data!BS56="x","✓","")</f>
        <v/>
      </c>
      <c r="BG71" s="43" t="str">
        <f>IF(Data!BS57="x","✓","")</f>
        <v/>
      </c>
      <c r="BH71" s="43" t="str">
        <f>IF(Data!BS58="x","✓","")</f>
        <v/>
      </c>
      <c r="BI71" s="43" t="str">
        <f>IF(Data!BS59="x","✓","")</f>
        <v/>
      </c>
      <c r="BJ71" s="43" t="str">
        <f>IF(Data!BS60="x","✓","")</f>
        <v/>
      </c>
      <c r="BK71" s="43" t="str">
        <f>IF(Data!BS61="x","✓","")</f>
        <v/>
      </c>
    </row>
    <row r="72" spans="2:63" ht="15.75" customHeight="1">
      <c r="B72" s="45" t="s">
        <v>70</v>
      </c>
      <c r="C72" s="48">
        <f>COUNTIF(Data!BT2:BT61,"x")</f>
        <v>7</v>
      </c>
      <c r="D72" s="46" t="str">
        <f>IF(Data!BT2="x","✓","")</f>
        <v/>
      </c>
      <c r="E72" s="46" t="str">
        <f>IF(Data!BT3="x","✓","")</f>
        <v/>
      </c>
      <c r="F72" s="46" t="str">
        <f>IF(Data!BT4="x","✓","")</f>
        <v/>
      </c>
      <c r="G72" s="46" t="str">
        <f>IF(Data!BT5="x","✓","")</f>
        <v/>
      </c>
      <c r="H72" s="46" t="str">
        <f>IF(Data!BT6="x","✓","")</f>
        <v/>
      </c>
      <c r="I72" s="46" t="str">
        <f>IF(Data!BT7="x","✓","")</f>
        <v/>
      </c>
      <c r="J72" s="46" t="str">
        <f>IF(Data!BT8="x","✓","")</f>
        <v/>
      </c>
      <c r="K72" s="46" t="str">
        <f>IF(Data!BT9="x","✓","")</f>
        <v/>
      </c>
      <c r="L72" s="46" t="str">
        <f>IF(Data!BT10="x","✓","")</f>
        <v/>
      </c>
      <c r="M72" s="46" t="str">
        <f>IF(Data!BT11="x","✓","")</f>
        <v/>
      </c>
      <c r="N72" s="46" t="str">
        <f>IF(Data!BT12="x","✓","")</f>
        <v/>
      </c>
      <c r="O72" s="46" t="str">
        <f>IF(Data!BT13="x","✓","")</f>
        <v/>
      </c>
      <c r="P72" s="46" t="str">
        <f>IF(Data!BT14="x","✓","")</f>
        <v/>
      </c>
      <c r="Q72" s="46" t="str">
        <f>IF(Data!BT15="x","✓","")</f>
        <v/>
      </c>
      <c r="R72" s="47" t="str">
        <f>IF(Data!BT16="x","✓","")</f>
        <v>✓</v>
      </c>
      <c r="S72" s="46" t="str">
        <f>IF(Data!BT17="x","✓","")</f>
        <v/>
      </c>
      <c r="T72" s="46" t="str">
        <f>IF(Data!BT18="x","✓","")</f>
        <v/>
      </c>
      <c r="U72" s="46" t="str">
        <f>IF(Data!BT19="x","✓","")</f>
        <v/>
      </c>
      <c r="V72" s="46" t="str">
        <f>IF(Data!BT20="x","✓","")</f>
        <v/>
      </c>
      <c r="W72" s="46" t="str">
        <f>IF(Data!BT21="x","✓","")</f>
        <v/>
      </c>
      <c r="X72" s="46" t="str">
        <f>IF(Data!BT22="x","✓","")</f>
        <v/>
      </c>
      <c r="Y72" s="46" t="str">
        <f>IF(Data!BT23="x","✓","")</f>
        <v/>
      </c>
      <c r="Z72" s="46" t="str">
        <f>IF(Data!BT24="x","✓","")</f>
        <v/>
      </c>
      <c r="AA72" s="46" t="str">
        <f>IF(Data!BT25="x","✓","")</f>
        <v/>
      </c>
      <c r="AB72" s="46" t="str">
        <f>IF(Data!BT26="x","✓","")</f>
        <v/>
      </c>
      <c r="AC72" s="46" t="str">
        <f>IF(Data!BT27="x","✓","")</f>
        <v/>
      </c>
      <c r="AD72" s="47" t="str">
        <f>IF(Data!BT28="x","✓","")</f>
        <v>✓</v>
      </c>
      <c r="AE72" s="46" t="str">
        <f>IF(Data!BT29="x","✓","")</f>
        <v/>
      </c>
      <c r="AF72" s="46" t="str">
        <f>IF(Data!BT30="x","✓","")</f>
        <v/>
      </c>
      <c r="AG72" s="44" t="str">
        <f>IF(Data!BT31="x","✓","")</f>
        <v>✓</v>
      </c>
      <c r="AH72" s="46" t="str">
        <f>IF(Data!BT32="x","✓","")</f>
        <v/>
      </c>
      <c r="AI72" s="46" t="str">
        <f>IF(Data!BT33="x","✓","")</f>
        <v/>
      </c>
      <c r="AJ72" s="46" t="str">
        <f>IF(Data!BT34="x","✓","")</f>
        <v/>
      </c>
      <c r="AK72" s="44" t="str">
        <f>IF(Data!BT35="x","✓","")</f>
        <v>✓</v>
      </c>
      <c r="AL72" s="46" t="str">
        <f>IF(Data!BT36="x","✓","")</f>
        <v/>
      </c>
      <c r="AM72" s="44" t="str">
        <f>IF(Data!BT37="x","✓","")</f>
        <v>✓</v>
      </c>
      <c r="AN72" s="46" t="str">
        <f>IF(Data!BT38="x","✓","")</f>
        <v/>
      </c>
      <c r="AO72" s="46" t="str">
        <f>IF(Data!BT39="x","✓","")</f>
        <v/>
      </c>
      <c r="AP72" s="47" t="str">
        <f>IF(Data!BT40="x","✓","")</f>
        <v>✓</v>
      </c>
      <c r="AQ72" s="46" t="str">
        <f>IF(Data!BT41="x","✓","")</f>
        <v/>
      </c>
      <c r="AR72" s="46" t="str">
        <f>IF(Data!BT42="x","✓","")</f>
        <v>✓</v>
      </c>
      <c r="AS72" s="46" t="str">
        <f>IF(Data!BT43="x","✓","")</f>
        <v/>
      </c>
      <c r="AT72" s="46" t="str">
        <f>IF(Data!BT44="x","✓","")</f>
        <v/>
      </c>
      <c r="AU72" s="46" t="str">
        <f>IF(Data!BT45="x","✓","")</f>
        <v/>
      </c>
      <c r="AV72" s="46" t="str">
        <f>IF(Data!BT46="x","✓","")</f>
        <v/>
      </c>
      <c r="AW72" s="46" t="str">
        <f>IF(Data!BT47="x","✓","")</f>
        <v/>
      </c>
      <c r="AX72" s="46" t="str">
        <f>IF(Data!BT48="x","✓","")</f>
        <v/>
      </c>
      <c r="AY72" s="46" t="str">
        <f>IF(Data!BT49="x","✓","")</f>
        <v/>
      </c>
      <c r="AZ72" s="46" t="str">
        <f>IF(Data!BT50="x","✓","")</f>
        <v/>
      </c>
      <c r="BA72" s="46" t="str">
        <f>IF(Data!BT51="x","✓","")</f>
        <v/>
      </c>
      <c r="BB72" s="46" t="str">
        <f>IF(Data!BT52="x","✓","")</f>
        <v/>
      </c>
      <c r="BC72" s="46" t="str">
        <f>IF(Data!BT53="x","✓","")</f>
        <v/>
      </c>
      <c r="BD72" s="46" t="str">
        <f>IF(Data!BT54="x","✓","")</f>
        <v/>
      </c>
      <c r="BE72" s="46" t="str">
        <f>IF(Data!BT55="x","✓","")</f>
        <v/>
      </c>
      <c r="BF72" s="46" t="str">
        <f>IF(Data!BT56="x","✓","")</f>
        <v/>
      </c>
      <c r="BG72" s="46" t="str">
        <f>IF(Data!BT57="x","✓","")</f>
        <v/>
      </c>
      <c r="BH72" s="46" t="str">
        <f>IF(Data!BT58="x","✓","")</f>
        <v/>
      </c>
      <c r="BI72" s="46" t="str">
        <f>IF(Data!BT59="x","✓","")</f>
        <v/>
      </c>
      <c r="BJ72" s="46" t="str">
        <f>IF(Data!BT60="x","✓","")</f>
        <v/>
      </c>
      <c r="BK72" s="46" t="str">
        <f>IF(Data!BT61="x","✓","")</f>
        <v/>
      </c>
    </row>
    <row r="73" spans="2:63" ht="15.75" customHeight="1">
      <c r="B73" s="41" t="s">
        <v>71</v>
      </c>
      <c r="C73" s="42">
        <f>COUNTIF(Data!BU2:BU61,"x")</f>
        <v>5</v>
      </c>
      <c r="D73" s="43" t="str">
        <f>IF(Data!BU2="x","✓","")</f>
        <v/>
      </c>
      <c r="E73" s="43" t="str">
        <f>IF(Data!BU3="x","✓","")</f>
        <v/>
      </c>
      <c r="F73" s="43" t="str">
        <f>IF(Data!BU4="x","✓","")</f>
        <v/>
      </c>
      <c r="G73" s="43" t="str">
        <f>IF(Data!BU5="x","✓","")</f>
        <v/>
      </c>
      <c r="H73" s="43" t="str">
        <f>IF(Data!BU6="x","✓","")</f>
        <v/>
      </c>
      <c r="I73" s="43" t="str">
        <f>IF(Data!BU7="x","✓","")</f>
        <v/>
      </c>
      <c r="J73" s="43" t="str">
        <f>IF(Data!BU8="x","✓","")</f>
        <v/>
      </c>
      <c r="K73" s="43" t="str">
        <f>IF(Data!BU9="x","✓","")</f>
        <v/>
      </c>
      <c r="L73" s="43" t="str">
        <f>IF(Data!BU10="x","✓","")</f>
        <v/>
      </c>
      <c r="M73" s="43" t="str">
        <f>IF(Data!BU11="x","✓","")</f>
        <v/>
      </c>
      <c r="N73" s="43" t="str">
        <f>IF(Data!BU12="x","✓","")</f>
        <v/>
      </c>
      <c r="O73" s="43" t="str">
        <f>IF(Data!BU13="x","✓","")</f>
        <v/>
      </c>
      <c r="P73" s="43" t="str">
        <f>IF(Data!BU14="x","✓","")</f>
        <v/>
      </c>
      <c r="Q73" s="44" t="str">
        <f>IF(Data!BU15="x","✓","")</f>
        <v>✓</v>
      </c>
      <c r="R73" s="43" t="str">
        <f>IF(Data!BU16="x","✓","")</f>
        <v/>
      </c>
      <c r="S73" s="43" t="str">
        <f>IF(Data!BU17="x","✓","")</f>
        <v/>
      </c>
      <c r="T73" s="43" t="str">
        <f>IF(Data!BU18="x","✓","")</f>
        <v/>
      </c>
      <c r="U73" s="43" t="str">
        <f>IF(Data!BU19="x","✓","")</f>
        <v/>
      </c>
      <c r="V73" s="43" t="str">
        <f>IF(Data!BU20="x","✓","")</f>
        <v/>
      </c>
      <c r="W73" s="43" t="str">
        <f>IF(Data!BU21="x","✓","")</f>
        <v/>
      </c>
      <c r="X73" s="43" t="str">
        <f>IF(Data!BU22="x","✓","")</f>
        <v/>
      </c>
      <c r="Y73" s="43" t="str">
        <f>IF(Data!BU23="x","✓","")</f>
        <v/>
      </c>
      <c r="Z73" s="43" t="str">
        <f>IF(Data!BU24="x","✓","")</f>
        <v/>
      </c>
      <c r="AA73" s="43" t="str">
        <f>IF(Data!BU25="x","✓","")</f>
        <v/>
      </c>
      <c r="AB73" s="43" t="str">
        <f>IF(Data!BU26="x","✓","")</f>
        <v/>
      </c>
      <c r="AC73" s="43" t="str">
        <f>IF(Data!BU27="x","✓","")</f>
        <v/>
      </c>
      <c r="AD73" s="43" t="str">
        <f>IF(Data!BU28="x","✓","")</f>
        <v/>
      </c>
      <c r="AE73" s="43" t="str">
        <f>IF(Data!BU29="x","✓","")</f>
        <v/>
      </c>
      <c r="AF73" s="47" t="str">
        <f>IF(Data!BU30="x","✓","")</f>
        <v>✓</v>
      </c>
      <c r="AG73" s="43" t="str">
        <f>IF(Data!BU31="x","✓","")</f>
        <v/>
      </c>
      <c r="AH73" s="47" t="str">
        <f>IF(Data!BU32="x","✓","")</f>
        <v>✓</v>
      </c>
      <c r="AI73" s="43" t="str">
        <f>IF(Data!BU33="x","✓","")</f>
        <v/>
      </c>
      <c r="AJ73" s="43" t="str">
        <f>IF(Data!BU34="x","✓","")</f>
        <v/>
      </c>
      <c r="AK73" s="44" t="str">
        <f>IF(Data!BU35="x","✓","")</f>
        <v>✓</v>
      </c>
      <c r="AL73" s="43" t="str">
        <f>IF(Data!BU36="x","✓","")</f>
        <v/>
      </c>
      <c r="AM73" s="43" t="str">
        <f>IF(Data!BU37="x","✓","")</f>
        <v/>
      </c>
      <c r="AN73" s="43" t="str">
        <f>IF(Data!BU38="x","✓","")</f>
        <v/>
      </c>
      <c r="AO73" s="43" t="str">
        <f>IF(Data!BU39="x","✓","")</f>
        <v/>
      </c>
      <c r="AP73" s="43" t="str">
        <f>IF(Data!BU40="x","✓","")</f>
        <v/>
      </c>
      <c r="AQ73" s="43" t="str">
        <f>IF(Data!BU41="x","✓","")</f>
        <v/>
      </c>
      <c r="AR73" s="43" t="str">
        <f>IF(Data!BU42="x","✓","")</f>
        <v>✓</v>
      </c>
      <c r="AS73" s="43" t="str">
        <f>IF(Data!BU43="x","✓","")</f>
        <v/>
      </c>
      <c r="AT73" s="43" t="str">
        <f>IF(Data!BU44="x","✓","")</f>
        <v/>
      </c>
      <c r="AU73" s="43" t="str">
        <f>IF(Data!BU45="x","✓","")</f>
        <v/>
      </c>
      <c r="AV73" s="43" t="str">
        <f>IF(Data!BU46="x","✓","")</f>
        <v/>
      </c>
      <c r="AW73" s="43" t="str">
        <f>IF(Data!BU47="x","✓","")</f>
        <v/>
      </c>
      <c r="AX73" s="43" t="str">
        <f>IF(Data!BU48="x","✓","")</f>
        <v/>
      </c>
      <c r="AY73" s="43" t="str">
        <f>IF(Data!BU49="x","✓","")</f>
        <v/>
      </c>
      <c r="AZ73" s="43" t="str">
        <f>IF(Data!BU50="x","✓","")</f>
        <v/>
      </c>
      <c r="BA73" s="43" t="str">
        <f>IF(Data!BU51="x","✓","")</f>
        <v/>
      </c>
      <c r="BB73" s="43" t="str">
        <f>IF(Data!BU52="x","✓","")</f>
        <v/>
      </c>
      <c r="BC73" s="43" t="str">
        <f>IF(Data!BU53="x","✓","")</f>
        <v/>
      </c>
      <c r="BD73" s="43" t="str">
        <f>IF(Data!BU54="x","✓","")</f>
        <v/>
      </c>
      <c r="BE73" s="43" t="str">
        <f>IF(Data!BU55="x","✓","")</f>
        <v/>
      </c>
      <c r="BF73" s="43" t="str">
        <f>IF(Data!BU56="x","✓","")</f>
        <v/>
      </c>
      <c r="BG73" s="43" t="str">
        <f>IF(Data!BU57="x","✓","")</f>
        <v/>
      </c>
      <c r="BH73" s="43" t="str">
        <f>IF(Data!BU58="x","✓","")</f>
        <v/>
      </c>
      <c r="BI73" s="43" t="str">
        <f>IF(Data!BU59="x","✓","")</f>
        <v/>
      </c>
      <c r="BJ73" s="43" t="str">
        <f>IF(Data!BU60="x","✓","")</f>
        <v/>
      </c>
      <c r="BK73" s="43" t="str">
        <f>IF(Data!BU61="x","✓","")</f>
        <v/>
      </c>
    </row>
    <row r="74" spans="2:63" ht="15.75" customHeight="1">
      <c r="B74" s="45" t="s">
        <v>72</v>
      </c>
      <c r="C74" s="42">
        <f>COUNTIF(Data!BV2:BV61,"x")</f>
        <v>6</v>
      </c>
      <c r="D74" s="46" t="str">
        <f>IF(Data!BV2="x","✓","")</f>
        <v/>
      </c>
      <c r="E74" s="46" t="str">
        <f>IF(Data!BV3="x","✓","")</f>
        <v/>
      </c>
      <c r="F74" s="46" t="str">
        <f>IF(Data!BV4="x","✓","")</f>
        <v/>
      </c>
      <c r="G74" s="46" t="str">
        <f>IF(Data!BV5="x","✓","")</f>
        <v/>
      </c>
      <c r="H74" s="46" t="str">
        <f>IF(Data!BV6="x","✓","")</f>
        <v/>
      </c>
      <c r="I74" s="46" t="str">
        <f>IF(Data!BV7="x","✓","")</f>
        <v/>
      </c>
      <c r="J74" s="46" t="str">
        <f>IF(Data!BV8="x","✓","")</f>
        <v/>
      </c>
      <c r="K74" s="46" t="str">
        <f>IF(Data!BV9="x","✓","")</f>
        <v/>
      </c>
      <c r="L74" s="46" t="str">
        <f>IF(Data!BV10="x","✓","")</f>
        <v/>
      </c>
      <c r="M74" s="46" t="str">
        <f>IF(Data!BV11="x","✓","")</f>
        <v/>
      </c>
      <c r="N74" s="46" t="str">
        <f>IF(Data!BV12="x","✓","")</f>
        <v/>
      </c>
      <c r="O74" s="46" t="str">
        <f>IF(Data!BV13="x","✓","")</f>
        <v/>
      </c>
      <c r="P74" s="46" t="str">
        <f>IF(Data!BV14="x","✓","")</f>
        <v/>
      </c>
      <c r="Q74" s="44" t="str">
        <f>IF(Data!BV15="x","✓","")</f>
        <v>✓</v>
      </c>
      <c r="R74" s="46" t="str">
        <f>IF(Data!BV16="x","✓","")</f>
        <v/>
      </c>
      <c r="S74" s="46" t="str">
        <f>IF(Data!BV17="x","✓","")</f>
        <v/>
      </c>
      <c r="T74" s="46" t="str">
        <f>IF(Data!BV18="x","✓","")</f>
        <v/>
      </c>
      <c r="U74" s="46" t="str">
        <f>IF(Data!BV19="x","✓","")</f>
        <v/>
      </c>
      <c r="V74" s="46" t="str">
        <f>IF(Data!BV20="x","✓","")</f>
        <v/>
      </c>
      <c r="W74" s="46" t="str">
        <f>IF(Data!BV21="x","✓","")</f>
        <v/>
      </c>
      <c r="X74" s="46" t="str">
        <f>IF(Data!BV22="x","✓","")</f>
        <v/>
      </c>
      <c r="Y74" s="46" t="str">
        <f>IF(Data!BV23="x","✓","")</f>
        <v/>
      </c>
      <c r="Z74" s="46" t="str">
        <f>IF(Data!BV24="x","✓","")</f>
        <v/>
      </c>
      <c r="AA74" s="46" t="str">
        <f>IF(Data!BV25="x","✓","")</f>
        <v/>
      </c>
      <c r="AB74" s="46" t="str">
        <f>IF(Data!BV26="x","✓","")</f>
        <v/>
      </c>
      <c r="AC74" s="46" t="str">
        <f>IF(Data!BV27="x","✓","")</f>
        <v/>
      </c>
      <c r="AD74" s="46" t="str">
        <f>IF(Data!BV28="x","✓","")</f>
        <v/>
      </c>
      <c r="AE74" s="46" t="str">
        <f>IF(Data!BV29="x","✓","")</f>
        <v/>
      </c>
      <c r="AF74" s="47" t="str">
        <f>IF(Data!BV30="x","✓","")</f>
        <v>✓</v>
      </c>
      <c r="AG74" s="46" t="str">
        <f>IF(Data!BV31="x","✓","")</f>
        <v/>
      </c>
      <c r="AH74" s="47" t="str">
        <f>IF(Data!BV32="x","✓","")</f>
        <v>✓</v>
      </c>
      <c r="AI74" s="46" t="str">
        <f>IF(Data!BV33="x","✓","")</f>
        <v/>
      </c>
      <c r="AJ74" s="46" t="str">
        <f>IF(Data!BV34="x","✓","")</f>
        <v/>
      </c>
      <c r="AK74" s="44" t="str">
        <f>IF(Data!BV35="x","✓","")</f>
        <v>✓</v>
      </c>
      <c r="AL74" s="47" t="str">
        <f>IF(Data!BV36="x","✓","")</f>
        <v>✓</v>
      </c>
      <c r="AM74" s="46" t="str">
        <f>IF(Data!BV37="x","✓","")</f>
        <v/>
      </c>
      <c r="AN74" s="46" t="str">
        <f>IF(Data!BV38="x","✓","")</f>
        <v/>
      </c>
      <c r="AO74" s="46" t="str">
        <f>IF(Data!BV39="x","✓","")</f>
        <v/>
      </c>
      <c r="AP74" s="46" t="str">
        <f>IF(Data!BV40="x","✓","")</f>
        <v/>
      </c>
      <c r="AQ74" s="46" t="str">
        <f>IF(Data!BV41="x","✓","")</f>
        <v/>
      </c>
      <c r="AR74" s="46" t="str">
        <f>IF(Data!BV42="x","✓","")</f>
        <v>✓</v>
      </c>
      <c r="AS74" s="46" t="str">
        <f>IF(Data!BV43="x","✓","")</f>
        <v/>
      </c>
      <c r="AT74" s="46" t="str">
        <f>IF(Data!BV44="x","✓","")</f>
        <v/>
      </c>
      <c r="AU74" s="46" t="str">
        <f>IF(Data!BV45="x","✓","")</f>
        <v/>
      </c>
      <c r="AV74" s="46" t="str">
        <f>IF(Data!BV46="x","✓","")</f>
        <v/>
      </c>
      <c r="AW74" s="46" t="str">
        <f>IF(Data!BV47="x","✓","")</f>
        <v/>
      </c>
      <c r="AX74" s="46" t="str">
        <f>IF(Data!BV48="x","✓","")</f>
        <v/>
      </c>
      <c r="AY74" s="46" t="str">
        <f>IF(Data!BV49="x","✓","")</f>
        <v/>
      </c>
      <c r="AZ74" s="46" t="str">
        <f>IF(Data!BV50="x","✓","")</f>
        <v/>
      </c>
      <c r="BA74" s="46" t="str">
        <f>IF(Data!BV51="x","✓","")</f>
        <v/>
      </c>
      <c r="BB74" s="46" t="str">
        <f>IF(Data!BV52="x","✓","")</f>
        <v/>
      </c>
      <c r="BC74" s="46" t="str">
        <f>IF(Data!BV53="x","✓","")</f>
        <v/>
      </c>
      <c r="BD74" s="46" t="str">
        <f>IF(Data!BV54="x","✓","")</f>
        <v/>
      </c>
      <c r="BE74" s="46" t="str">
        <f>IF(Data!BV55="x","✓","")</f>
        <v/>
      </c>
      <c r="BF74" s="46" t="str">
        <f>IF(Data!BV56="x","✓","")</f>
        <v/>
      </c>
      <c r="BG74" s="46" t="str">
        <f>IF(Data!BV57="x","✓","")</f>
        <v/>
      </c>
      <c r="BH74" s="46" t="str">
        <f>IF(Data!BV58="x","✓","")</f>
        <v/>
      </c>
      <c r="BI74" s="46" t="str">
        <f>IF(Data!BV59="x","✓","")</f>
        <v/>
      </c>
      <c r="BJ74" s="46" t="str">
        <f>IF(Data!BV60="x","✓","")</f>
        <v/>
      </c>
      <c r="BK74" s="46" t="str">
        <f>IF(Data!BV61="x","✓","")</f>
        <v/>
      </c>
    </row>
    <row r="75" spans="2:63" ht="15.75" customHeight="1">
      <c r="B75" s="41" t="s">
        <v>73</v>
      </c>
      <c r="C75" s="42">
        <f>COUNTIF(Data!BW2:BW61,"x")</f>
        <v>6</v>
      </c>
      <c r="D75" s="43" t="str">
        <f>IF(Data!BW2="x","✓","")</f>
        <v/>
      </c>
      <c r="E75" s="43" t="str">
        <f>IF(Data!BW3="x","✓","")</f>
        <v/>
      </c>
      <c r="F75" s="43" t="str">
        <f>IF(Data!BW4="x","✓","")</f>
        <v/>
      </c>
      <c r="G75" s="43" t="str">
        <f>IF(Data!BW5="x","✓","")</f>
        <v/>
      </c>
      <c r="H75" s="43" t="str">
        <f>IF(Data!BW6="x","✓","")</f>
        <v/>
      </c>
      <c r="I75" s="43" t="str">
        <f>IF(Data!BW7="x","✓","")</f>
        <v/>
      </c>
      <c r="J75" s="43" t="str">
        <f>IF(Data!BW8="x","✓","")</f>
        <v/>
      </c>
      <c r="K75" s="43" t="str">
        <f>IF(Data!BW9="x","✓","")</f>
        <v/>
      </c>
      <c r="L75" s="43" t="str">
        <f>IF(Data!BW10="x","✓","")</f>
        <v/>
      </c>
      <c r="M75" s="43" t="str">
        <f>IF(Data!BW11="x","✓","")</f>
        <v/>
      </c>
      <c r="N75" s="43" t="str">
        <f>IF(Data!BW12="x","✓","")</f>
        <v/>
      </c>
      <c r="O75" s="43" t="str">
        <f>IF(Data!BW13="x","✓","")</f>
        <v/>
      </c>
      <c r="P75" s="47" t="str">
        <f>IF(Data!BW14="x","✓","")</f>
        <v>✓</v>
      </c>
      <c r="Q75" s="44" t="str">
        <f>IF(Data!BW15="x","✓","")</f>
        <v>✓</v>
      </c>
      <c r="R75" s="43" t="str">
        <f>IF(Data!BW16="x","✓","")</f>
        <v/>
      </c>
      <c r="S75" s="43" t="str">
        <f>IF(Data!BW17="x","✓","")</f>
        <v/>
      </c>
      <c r="T75" s="43" t="str">
        <f>IF(Data!BW18="x","✓","")</f>
        <v/>
      </c>
      <c r="U75" s="43" t="str">
        <f>IF(Data!BW19="x","✓","")</f>
        <v/>
      </c>
      <c r="V75" s="43" t="str">
        <f>IF(Data!BW20="x","✓","")</f>
        <v/>
      </c>
      <c r="W75" s="43" t="str">
        <f>IF(Data!BW21="x","✓","")</f>
        <v/>
      </c>
      <c r="X75" s="43" t="str">
        <f>IF(Data!BW22="x","✓","")</f>
        <v/>
      </c>
      <c r="Y75" s="43" t="str">
        <f>IF(Data!BW23="x","✓","")</f>
        <v/>
      </c>
      <c r="Z75" s="43" t="str">
        <f>IF(Data!BW24="x","✓","")</f>
        <v/>
      </c>
      <c r="AA75" s="43" t="str">
        <f>IF(Data!BW25="x","✓","")</f>
        <v/>
      </c>
      <c r="AB75" s="43" t="str">
        <f>IF(Data!BW26="x","✓","")</f>
        <v/>
      </c>
      <c r="AC75" s="43" t="str">
        <f>IF(Data!BW27="x","✓","")</f>
        <v/>
      </c>
      <c r="AD75" s="43" t="str">
        <f>IF(Data!BW28="x","✓","")</f>
        <v/>
      </c>
      <c r="AE75" s="43" t="str">
        <f>IF(Data!BW29="x","✓","")</f>
        <v/>
      </c>
      <c r="AF75" s="47" t="str">
        <f>IF(Data!BW30="x","✓","")</f>
        <v>✓</v>
      </c>
      <c r="AG75" s="43" t="str">
        <f>IF(Data!BW31="x","✓","")</f>
        <v/>
      </c>
      <c r="AH75" s="47" t="str">
        <f>IF(Data!BW32="x","✓","")</f>
        <v>✓</v>
      </c>
      <c r="AI75" s="43" t="str">
        <f>IF(Data!BW33="x","✓","")</f>
        <v/>
      </c>
      <c r="AJ75" s="43" t="str">
        <f>IF(Data!BW34="x","✓","")</f>
        <v/>
      </c>
      <c r="AK75" s="44" t="str">
        <f>IF(Data!BW35="x","✓","")</f>
        <v>✓</v>
      </c>
      <c r="AL75" s="43" t="str">
        <f>IF(Data!BW36="x","✓","")</f>
        <v/>
      </c>
      <c r="AM75" s="43" t="str">
        <f>IF(Data!BW37="x","✓","")</f>
        <v/>
      </c>
      <c r="AN75" s="43" t="str">
        <f>IF(Data!BW38="x","✓","")</f>
        <v/>
      </c>
      <c r="AO75" s="43" t="str">
        <f>IF(Data!BW39="x","✓","")</f>
        <v/>
      </c>
      <c r="AP75" s="43" t="str">
        <f>IF(Data!BW40="x","✓","")</f>
        <v/>
      </c>
      <c r="AQ75" s="43" t="str">
        <f>IF(Data!BW41="x","✓","")</f>
        <v/>
      </c>
      <c r="AR75" s="43" t="str">
        <f>IF(Data!BW42="x","✓","")</f>
        <v>✓</v>
      </c>
      <c r="AS75" s="43" t="str">
        <f>IF(Data!BW43="x","✓","")</f>
        <v/>
      </c>
      <c r="AT75" s="43" t="str">
        <f>IF(Data!BW44="x","✓","")</f>
        <v/>
      </c>
      <c r="AU75" s="43" t="str">
        <f>IF(Data!BW45="x","✓","")</f>
        <v/>
      </c>
      <c r="AV75" s="43" t="str">
        <f>IF(Data!BW46="x","✓","")</f>
        <v/>
      </c>
      <c r="AW75" s="43" t="str">
        <f>IF(Data!BW47="x","✓","")</f>
        <v/>
      </c>
      <c r="AX75" s="43" t="str">
        <f>IF(Data!BW48="x","✓","")</f>
        <v/>
      </c>
      <c r="AY75" s="43" t="str">
        <f>IF(Data!BW49="x","✓","")</f>
        <v/>
      </c>
      <c r="AZ75" s="43" t="str">
        <f>IF(Data!BW50="x","✓","")</f>
        <v/>
      </c>
      <c r="BA75" s="43" t="str">
        <f>IF(Data!BW51="x","✓","")</f>
        <v/>
      </c>
      <c r="BB75" s="43" t="str">
        <f>IF(Data!BW52="x","✓","")</f>
        <v/>
      </c>
      <c r="BC75" s="43" t="str">
        <f>IF(Data!BW53="x","✓","")</f>
        <v/>
      </c>
      <c r="BD75" s="43" t="str">
        <f>IF(Data!BW54="x","✓","")</f>
        <v/>
      </c>
      <c r="BE75" s="43" t="str">
        <f>IF(Data!BW55="x","✓","")</f>
        <v/>
      </c>
      <c r="BF75" s="43" t="str">
        <f>IF(Data!BW56="x","✓","")</f>
        <v/>
      </c>
      <c r="BG75" s="43" t="str">
        <f>IF(Data!BW57="x","✓","")</f>
        <v/>
      </c>
      <c r="BH75" s="43" t="str">
        <f>IF(Data!BW58="x","✓","")</f>
        <v/>
      </c>
      <c r="BI75" s="43" t="str">
        <f>IF(Data!BW59="x","✓","")</f>
        <v/>
      </c>
      <c r="BJ75" s="43" t="str">
        <f>IF(Data!BW60="x","✓","")</f>
        <v/>
      </c>
      <c r="BK75" s="43" t="str">
        <f>IF(Data!BW61="x","✓","")</f>
        <v/>
      </c>
    </row>
    <row r="76" spans="2:63" ht="15.75" customHeight="1">
      <c r="B76" s="45" t="s">
        <v>74</v>
      </c>
      <c r="C76" s="42">
        <f>COUNTIF(Data!BX2:BX61,"x")</f>
        <v>6</v>
      </c>
      <c r="D76" s="46" t="str">
        <f>IF(Data!BX2="x","✓","")</f>
        <v/>
      </c>
      <c r="E76" s="46" t="str">
        <f>IF(Data!BX3="x","✓","")</f>
        <v/>
      </c>
      <c r="F76" s="46" t="str">
        <f>IF(Data!BX4="x","✓","")</f>
        <v/>
      </c>
      <c r="G76" s="46" t="str">
        <f>IF(Data!BX5="x","✓","")</f>
        <v/>
      </c>
      <c r="H76" s="46" t="str">
        <f>IF(Data!BX6="x","✓","")</f>
        <v/>
      </c>
      <c r="I76" s="46" t="str">
        <f>IF(Data!BX7="x","✓","")</f>
        <v/>
      </c>
      <c r="J76" s="46" t="str">
        <f>IF(Data!BX8="x","✓","")</f>
        <v/>
      </c>
      <c r="K76" s="46" t="str">
        <f>IF(Data!BX9="x","✓","")</f>
        <v/>
      </c>
      <c r="L76" s="46" t="str">
        <f>IF(Data!BX10="x","✓","")</f>
        <v/>
      </c>
      <c r="M76" s="46" t="str">
        <f>IF(Data!BX11="x","✓","")</f>
        <v/>
      </c>
      <c r="N76" s="46" t="str">
        <f>IF(Data!BX12="x","✓","")</f>
        <v/>
      </c>
      <c r="O76" s="46" t="str">
        <f>IF(Data!BX13="x","✓","")</f>
        <v/>
      </c>
      <c r="P76" s="46" t="str">
        <f>IF(Data!BX14="x","✓","")</f>
        <v/>
      </c>
      <c r="Q76" s="44" t="str">
        <f>IF(Data!BX15="x","✓","")</f>
        <v>✓</v>
      </c>
      <c r="R76" s="46" t="str">
        <f>IF(Data!BX16="x","✓","")</f>
        <v/>
      </c>
      <c r="S76" s="46" t="str">
        <f>IF(Data!BX17="x","✓","")</f>
        <v/>
      </c>
      <c r="T76" s="46" t="str">
        <f>IF(Data!BX18="x","✓","")</f>
        <v/>
      </c>
      <c r="U76" s="44" t="str">
        <f>IF(Data!BX19="x","✓","")</f>
        <v>✓</v>
      </c>
      <c r="V76" s="46" t="str">
        <f>IF(Data!BX20="x","✓","")</f>
        <v/>
      </c>
      <c r="W76" s="46" t="str">
        <f>IF(Data!BX21="x","✓","")</f>
        <v/>
      </c>
      <c r="X76" s="46" t="str">
        <f>IF(Data!BX22="x","✓","")</f>
        <v/>
      </c>
      <c r="Y76" s="46" t="str">
        <f>IF(Data!BX23="x","✓","")</f>
        <v/>
      </c>
      <c r="Z76" s="46" t="str">
        <f>IF(Data!BX24="x","✓","")</f>
        <v/>
      </c>
      <c r="AA76" s="46" t="str">
        <f>IF(Data!BX25="x","✓","")</f>
        <v/>
      </c>
      <c r="AB76" s="46" t="str">
        <f>IF(Data!BX26="x","✓","")</f>
        <v/>
      </c>
      <c r="AC76" s="46" t="str">
        <f>IF(Data!BX27="x","✓","")</f>
        <v/>
      </c>
      <c r="AD76" s="46" t="str">
        <f>IF(Data!BX28="x","✓","")</f>
        <v/>
      </c>
      <c r="AE76" s="46" t="str">
        <f>IF(Data!BX29="x","✓","")</f>
        <v/>
      </c>
      <c r="AF76" s="47" t="str">
        <f>IF(Data!BX30="x","✓","")</f>
        <v>✓</v>
      </c>
      <c r="AG76" s="46" t="str">
        <f>IF(Data!BX31="x","✓","")</f>
        <v/>
      </c>
      <c r="AH76" s="46" t="str">
        <f>IF(Data!BX32="x","✓","")</f>
        <v/>
      </c>
      <c r="AI76" s="44" t="str">
        <f>IF(Data!BX33="x","✓","")</f>
        <v>✓</v>
      </c>
      <c r="AJ76" s="46" t="str">
        <f>IF(Data!BX34="x","✓","")</f>
        <v/>
      </c>
      <c r="AK76" s="46" t="str">
        <f>IF(Data!BX35="x","✓","")</f>
        <v/>
      </c>
      <c r="AL76" s="47" t="str">
        <f>IF(Data!BX36="x","✓","")</f>
        <v>✓</v>
      </c>
      <c r="AM76" s="46" t="str">
        <f>IF(Data!BX37="x","✓","")</f>
        <v/>
      </c>
      <c r="AN76" s="46" t="str">
        <f>IF(Data!BX38="x","✓","")</f>
        <v/>
      </c>
      <c r="AO76" s="46" t="str">
        <f>IF(Data!BX39="x","✓","")</f>
        <v/>
      </c>
      <c r="AP76" s="46" t="str">
        <f>IF(Data!BX40="x","✓","")</f>
        <v/>
      </c>
      <c r="AQ76" s="46" t="str">
        <f>IF(Data!BX41="x","✓","")</f>
        <v/>
      </c>
      <c r="AR76" s="46" t="str">
        <f>IF(Data!BX42="x","✓","")</f>
        <v>✓</v>
      </c>
      <c r="AS76" s="46" t="str">
        <f>IF(Data!BX43="x","✓","")</f>
        <v/>
      </c>
      <c r="AT76" s="46" t="str">
        <f>IF(Data!BX44="x","✓","")</f>
        <v/>
      </c>
      <c r="AU76" s="46" t="str">
        <f>IF(Data!BX45="x","✓","")</f>
        <v/>
      </c>
      <c r="AV76" s="46" t="str">
        <f>IF(Data!BX46="x","✓","")</f>
        <v/>
      </c>
      <c r="AW76" s="46" t="str">
        <f>IF(Data!BX47="x","✓","")</f>
        <v/>
      </c>
      <c r="AX76" s="46" t="str">
        <f>IF(Data!BX48="x","✓","")</f>
        <v/>
      </c>
      <c r="AY76" s="46" t="str">
        <f>IF(Data!BX49="x","✓","")</f>
        <v/>
      </c>
      <c r="AZ76" s="46" t="str">
        <f>IF(Data!BX50="x","✓","")</f>
        <v/>
      </c>
      <c r="BA76" s="46" t="str">
        <f>IF(Data!BX51="x","✓","")</f>
        <v/>
      </c>
      <c r="BB76" s="46" t="str">
        <f>IF(Data!BX52="x","✓","")</f>
        <v/>
      </c>
      <c r="BC76" s="46" t="str">
        <f>IF(Data!BX53="x","✓","")</f>
        <v/>
      </c>
      <c r="BD76" s="46" t="str">
        <f>IF(Data!BX54="x","✓","")</f>
        <v/>
      </c>
      <c r="BE76" s="46" t="str">
        <f>IF(Data!BX55="x","✓","")</f>
        <v/>
      </c>
      <c r="BF76" s="46" t="str">
        <f>IF(Data!BX56="x","✓","")</f>
        <v/>
      </c>
      <c r="BG76" s="46" t="str">
        <f>IF(Data!BX57="x","✓","")</f>
        <v/>
      </c>
      <c r="BH76" s="46" t="str">
        <f>IF(Data!BX58="x","✓","")</f>
        <v/>
      </c>
      <c r="BI76" s="46" t="str">
        <f>IF(Data!BX59="x","✓","")</f>
        <v/>
      </c>
      <c r="BJ76" s="46" t="str">
        <f>IF(Data!BX60="x","✓","")</f>
        <v/>
      </c>
      <c r="BK76" s="46" t="str">
        <f>IF(Data!BX61="x","✓","")</f>
        <v/>
      </c>
    </row>
    <row r="77" spans="2:63" ht="15.75" customHeight="1"/>
    <row r="78" spans="2:63" ht="15.75" customHeight="1"/>
    <row r="79" spans="2:63" ht="15.75" customHeight="1"/>
    <row r="80" spans="2:63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BL2"/>
  </mergeCells>
  <pageMargins left="0.75" right="0.75" top="1" bottom="1" header="0" footer="0"/>
  <pageSetup paperSize="9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I1000"/>
  <sheetViews>
    <sheetView showGridLines="0" workbookViewId="0">
      <pane xSplit="1" ySplit="4" topLeftCell="B5" activePane="bottomRight" state="frozen"/>
      <selection pane="topRight"/>
      <selection pane="bottomLeft"/>
      <selection pane="bottomRight"/>
    </sheetView>
  </sheetViews>
  <sheetFormatPr defaultColWidth="14.41015625" defaultRowHeight="15" customHeight="1"/>
  <cols>
    <col min="1" max="1" width="2" customWidth="1"/>
    <col min="2" max="2" width="22" customWidth="1"/>
    <col min="3" max="3" width="8" customWidth="1"/>
    <col min="4" max="4" width="38" customWidth="1"/>
    <col min="5" max="5" width="28" customWidth="1"/>
    <col min="6" max="6" width="38" customWidth="1"/>
    <col min="7" max="7" width="28" customWidth="1"/>
    <col min="8" max="8" width="38" customWidth="1"/>
    <col min="9" max="9" width="28" customWidth="1"/>
    <col min="10" max="26" width="8.703125" customWidth="1"/>
  </cols>
  <sheetData>
    <row r="1" spans="2:9" ht="6" customHeight="1"/>
    <row r="2" spans="2:9" ht="45" customHeight="1">
      <c r="B2" s="113" t="s">
        <v>232</v>
      </c>
      <c r="C2" s="101"/>
      <c r="D2" s="101"/>
      <c r="E2" s="101"/>
      <c r="F2" s="101"/>
      <c r="G2" s="101"/>
      <c r="H2" s="101"/>
      <c r="I2" s="98"/>
    </row>
    <row r="3" spans="2:9" ht="7.5" customHeight="1"/>
    <row r="4" spans="2:9" ht="24" customHeight="1">
      <c r="B4" s="52" t="s">
        <v>221</v>
      </c>
      <c r="C4" s="52" t="s">
        <v>233</v>
      </c>
      <c r="D4" s="52" t="s">
        <v>234</v>
      </c>
      <c r="E4" s="52" t="s">
        <v>235</v>
      </c>
      <c r="F4" s="52" t="s">
        <v>236</v>
      </c>
      <c r="G4" s="52" t="s">
        <v>237</v>
      </c>
      <c r="H4" s="52" t="s">
        <v>238</v>
      </c>
      <c r="I4" s="52" t="s">
        <v>239</v>
      </c>
    </row>
    <row r="5" spans="2:9" ht="21.75" customHeight="1">
      <c r="B5" s="41" t="s">
        <v>3</v>
      </c>
      <c r="C5" s="53">
        <f>COUNTIF(Data!E2:E61,"x")</f>
        <v>6</v>
      </c>
      <c r="D5" s="29" t="str">
        <f>IF(Data!A17="","—",Data!A17)</f>
        <v>ELCA LaCrosse Area Synod</v>
      </c>
      <c r="E5" s="54" t="str">
        <f>IF(Data!B17="","—",Data!B17)</f>
        <v>Bishop Felix Malpica</v>
      </c>
      <c r="F5" s="29" t="str">
        <f>IF(Data!A33="","—",Data!A33)</f>
        <v>Roman Catholic Diocese of LaCrosse</v>
      </c>
      <c r="G5" s="54" t="str">
        <f>IF(Data!B33="","—",Data!B33)</f>
        <v>Bishop Battersby</v>
      </c>
      <c r="H5" s="29" t="str">
        <f>IF(Data!A27="","—",Data!A27)</f>
        <v>PC(USA), John Knox Presbytery</v>
      </c>
      <c r="I5" s="54" t="str">
        <f>IF(Data!B27="","—",Data!B27)</f>
        <v>Rev. Devon Reynolds</v>
      </c>
    </row>
    <row r="6" spans="2:9" ht="21.75" customHeight="1">
      <c r="B6" s="45" t="s">
        <v>4</v>
      </c>
      <c r="C6" s="53">
        <f>COUNTIF(Data!F2:F61,"x")</f>
        <v>6</v>
      </c>
      <c r="D6" s="34" t="str">
        <f>IF(Data!A19="","—",Data!A19)</f>
        <v>ELCA Northwest Synod</v>
      </c>
      <c r="E6" s="55" t="str">
        <f>IF(Data!B19="","—",Data!B19)</f>
        <v>Bishop Martin Halom</v>
      </c>
      <c r="F6" s="34" t="str">
        <f>IF(Data!A29="","—",Data!A29)</f>
        <v>PC(USA), Northern Waters Presbytery</v>
      </c>
      <c r="G6" s="55" t="str">
        <f>IF(Data!B29="","—",Data!B29)</f>
        <v>Rev. Richard Blood</v>
      </c>
      <c r="H6" s="34" t="str">
        <f>IF(Data!A38="","—",Data!A38)</f>
        <v>UMC - WI, North East District</v>
      </c>
      <c r="I6" s="55" t="str">
        <f>IF(Data!B38="","—",Data!B38)</f>
        <v>Rev. M. Park Hunter</v>
      </c>
    </row>
    <row r="7" spans="2:9" ht="21.75" customHeight="1">
      <c r="B7" s="41" t="s">
        <v>5</v>
      </c>
      <c r="C7" s="53">
        <f>COUNTIF(Data!G2:G61,"x")</f>
        <v>6</v>
      </c>
      <c r="D7" s="29" t="str">
        <f>IF(Data!A19="","—",Data!A19)</f>
        <v>ELCA Northwest Synod</v>
      </c>
      <c r="E7" s="54" t="str">
        <f>IF(Data!B19="","—",Data!B19)</f>
        <v>Bishop Martin Halom</v>
      </c>
      <c r="F7" s="29" t="str">
        <f>IF(Data!A29="","—",Data!A29)</f>
        <v>PC(USA), Northern Waters Presbytery</v>
      </c>
      <c r="G7" s="54" t="str">
        <f>IF(Data!B29="","—",Data!B29)</f>
        <v>Rev. Richard Blood</v>
      </c>
      <c r="H7" s="29" t="str">
        <f>IF(Data!A38="","—",Data!A38)</f>
        <v>UMC - WI, North East District</v>
      </c>
      <c r="I7" s="54" t="str">
        <f>IF(Data!B38="","—",Data!B38)</f>
        <v>Rev. M. Park Hunter</v>
      </c>
    </row>
    <row r="8" spans="2:9" ht="21.75" customHeight="1">
      <c r="B8" s="45" t="s">
        <v>6</v>
      </c>
      <c r="C8" s="53">
        <f>COUNTIF(Data!H2:H61,"x")</f>
        <v>6</v>
      </c>
      <c r="D8" s="34" t="str">
        <f>IF(Data!A19="","—",Data!A19)</f>
        <v>ELCA Northwest Synod</v>
      </c>
      <c r="E8" s="55" t="str">
        <f>IF(Data!B19="","—",Data!B19)</f>
        <v>Bishop Martin Halom</v>
      </c>
      <c r="F8" s="34" t="str">
        <f>IF(Data!A29="","—",Data!A29)</f>
        <v>PC(USA), Northern Waters Presbytery</v>
      </c>
      <c r="G8" s="55" t="str">
        <f>IF(Data!B29="","—",Data!B29)</f>
        <v>Rev. Richard Blood</v>
      </c>
      <c r="H8" s="34" t="str">
        <f>IF(Data!A38="","—",Data!A38)</f>
        <v>UMC - WI, North East District</v>
      </c>
      <c r="I8" s="55" t="str">
        <f>IF(Data!B38="","—",Data!B38)</f>
        <v>Rev. M. Park Hunter</v>
      </c>
    </row>
    <row r="9" spans="2:9" ht="21.75" customHeight="1">
      <c r="B9" s="41" t="s">
        <v>7</v>
      </c>
      <c r="C9" s="53">
        <f>COUNTIF(Data!I2:I61,"x")</f>
        <v>5</v>
      </c>
      <c r="D9" s="29" t="str">
        <f>IF(Data!A15="","—",Data!A15)</f>
        <v>ELCA East-Central Synod</v>
      </c>
      <c r="E9" s="54" t="str">
        <f>IF(Data!B15="","—",Data!B15)</f>
        <v>Bishop Anne Edison Albright</v>
      </c>
      <c r="F9" s="29" t="str">
        <f>IF(Data!A32="","—",Data!A32)</f>
        <v>Roman Catholic Diocese of Green Bay</v>
      </c>
      <c r="G9" s="54" t="str">
        <f>IF(Data!B32="","—",Data!B32)</f>
        <v>Bishop Ricken</v>
      </c>
      <c r="H9" s="29" t="str">
        <f>IF(Data!A30="","—",Data!A30)</f>
        <v>PC(USA), Winnebago Presbytery</v>
      </c>
      <c r="I9" s="54" t="str">
        <f>IF(Data!B30="","—",Data!B30)</f>
        <v>Rev. Dave Colby</v>
      </c>
    </row>
    <row r="10" spans="2:9" ht="21.75" customHeight="1">
      <c r="B10" s="45" t="s">
        <v>8</v>
      </c>
      <c r="C10" s="48">
        <f>COUNTIF(Data!J2:J61,"x")</f>
        <v>8</v>
      </c>
      <c r="D10" s="34" t="str">
        <f>IF(Data!A17="","—",Data!A17)</f>
        <v>ELCA LaCrosse Area Synod</v>
      </c>
      <c r="E10" s="55" t="str">
        <f>IF(Data!B17="","—",Data!B17)</f>
        <v>Bishop Felix Malpica</v>
      </c>
      <c r="F10" s="34" t="str">
        <f>IF(Data!A19="","—",Data!A19)</f>
        <v>ELCA Northwest Synod</v>
      </c>
      <c r="G10" s="55" t="str">
        <f>IF(Data!B19="","—",Data!B19)</f>
        <v>Bishop Martin Halom</v>
      </c>
      <c r="H10" s="34" t="str">
        <f>IF(Data!A33="","—",Data!A33)</f>
        <v>Roman Catholic Diocese of LaCrosse</v>
      </c>
      <c r="I10" s="55" t="str">
        <f>IF(Data!B33="","—",Data!B33)</f>
        <v>Bishop Battersby</v>
      </c>
    </row>
    <row r="11" spans="2:9" ht="21.75" customHeight="1">
      <c r="B11" s="41" t="s">
        <v>9</v>
      </c>
      <c r="C11" s="53">
        <f>COUNTIF(Data!K2:K61,"x")</f>
        <v>6</v>
      </c>
      <c r="D11" s="29" t="str">
        <f>IF(Data!A19="","—",Data!A19)</f>
        <v>ELCA Northwest Synod</v>
      </c>
      <c r="E11" s="54" t="str">
        <f>IF(Data!B19="","—",Data!B19)</f>
        <v>Bishop Martin Halom</v>
      </c>
      <c r="F11" s="29" t="str">
        <f>IF(Data!A29="","—",Data!A29)</f>
        <v>PC(USA), Northern Waters Presbytery</v>
      </c>
      <c r="G11" s="54" t="str">
        <f>IF(Data!B29="","—",Data!B29)</f>
        <v>Rev. Richard Blood</v>
      </c>
      <c r="H11" s="29" t="str">
        <f>IF(Data!A38="","—",Data!A38)</f>
        <v>UMC - WI, North East District</v>
      </c>
      <c r="I11" s="54" t="str">
        <f>IF(Data!B38="","—",Data!B38)</f>
        <v>Rev. M. Park Hunter</v>
      </c>
    </row>
    <row r="12" spans="2:9" ht="21.75" customHeight="1">
      <c r="B12" s="45" t="s">
        <v>10</v>
      </c>
      <c r="C12" s="53">
        <f>COUNTIF(Data!L2:L61,"x")</f>
        <v>5</v>
      </c>
      <c r="D12" s="34" t="str">
        <f>IF(Data!A15="","—",Data!A15)</f>
        <v>ELCA East-Central Synod</v>
      </c>
      <c r="E12" s="55" t="str">
        <f>IF(Data!B15="","—",Data!B15)</f>
        <v>Bishop Anne Edison Albright</v>
      </c>
      <c r="F12" s="34" t="str">
        <f>IF(Data!A32="","—",Data!A32)</f>
        <v>Roman Catholic Diocese of Green Bay</v>
      </c>
      <c r="G12" s="55" t="str">
        <f>IF(Data!B32="","—",Data!B32)</f>
        <v>Bishop Ricken</v>
      </c>
      <c r="H12" s="34" t="str">
        <f>IF(Data!A30="","—",Data!A30)</f>
        <v>PC(USA), Winnebago Presbytery</v>
      </c>
      <c r="I12" s="55" t="str">
        <f>IF(Data!B30="","—",Data!B30)</f>
        <v>Rev. Dave Colby</v>
      </c>
    </row>
    <row r="13" spans="2:9" ht="21.75" customHeight="1">
      <c r="B13" s="41" t="s">
        <v>11</v>
      </c>
      <c r="C13" s="53">
        <f>COUNTIF(Data!M2:M61,"x")</f>
        <v>7</v>
      </c>
      <c r="D13" s="29" t="str">
        <f>IF(Data!A19="","—",Data!A19)</f>
        <v>ELCA Northwest Synod</v>
      </c>
      <c r="E13" s="54" t="str">
        <f>IF(Data!B19="","—",Data!B19)</f>
        <v>Bishop Martin Halom</v>
      </c>
      <c r="F13" s="29" t="str">
        <f>IF(Data!A33="","—",Data!A33)</f>
        <v>Roman Catholic Diocese of LaCrosse</v>
      </c>
      <c r="G13" s="54" t="str">
        <f>IF(Data!B33="","—",Data!B33)</f>
        <v>Bishop Battersby</v>
      </c>
      <c r="H13" s="29" t="str">
        <f>IF(Data!A29="","—",Data!A29)</f>
        <v>PC(USA), Northern Waters Presbytery</v>
      </c>
      <c r="I13" s="54" t="str">
        <f>IF(Data!B29="","—",Data!B29)</f>
        <v>Rev. Richard Blood</v>
      </c>
    </row>
    <row r="14" spans="2:9" ht="21.75" customHeight="1">
      <c r="B14" s="45" t="s">
        <v>12</v>
      </c>
      <c r="C14" s="53">
        <f>COUNTIF(Data!N2:N61,"x")</f>
        <v>7</v>
      </c>
      <c r="D14" s="34" t="str">
        <f>IF(Data!A19="","—",Data!A19)</f>
        <v>ELCA Northwest Synod</v>
      </c>
      <c r="E14" s="55" t="str">
        <f>IF(Data!B19="","—",Data!B19)</f>
        <v>Bishop Martin Halom</v>
      </c>
      <c r="F14" s="34" t="str">
        <f>IF(Data!A33="","—",Data!A33)</f>
        <v>Roman Catholic Diocese of LaCrosse</v>
      </c>
      <c r="G14" s="55" t="str">
        <f>IF(Data!B33="","—",Data!B33)</f>
        <v>Bishop Battersby</v>
      </c>
      <c r="H14" s="34" t="str">
        <f>IF(Data!A29="","—",Data!A29)</f>
        <v>PC(USA), Northern Waters Presbytery</v>
      </c>
      <c r="I14" s="55" t="str">
        <f>IF(Data!B29="","—",Data!B29)</f>
        <v>Rev. Richard Blood</v>
      </c>
    </row>
    <row r="15" spans="2:9" ht="21.75" customHeight="1">
      <c r="B15" s="41" t="s">
        <v>14</v>
      </c>
      <c r="C15" s="49">
        <f>COUNTIF(Data!O2:O61,"x")</f>
        <v>10</v>
      </c>
      <c r="D15" s="29" t="str">
        <f>IF(Data!A20="","—",Data!A20)</f>
        <v>ELCA South-Central Synod</v>
      </c>
      <c r="E15" s="54" t="str">
        <f>IF(Data!B20="","—",Data!B20)</f>
        <v>Bishop Joy Mortensen-Weibe</v>
      </c>
      <c r="F15" s="29" t="str">
        <f>IF(Data!A2="","—",Data!A2)</f>
        <v>African Methodist Episcopal Church, 4th District</v>
      </c>
      <c r="G15" s="54" t="str">
        <f>IF(Data!B2="","—",Data!B2)</f>
        <v>Presiding Elder James Miller</v>
      </c>
      <c r="H15" s="29" t="str">
        <f>IF(Data!A3="","—",Data!A3)</f>
        <v>American Baptist Churches of Wisconsin</v>
      </c>
      <c r="I15" s="54" t="str">
        <f>IF(Data!B3="","—",Data!B3)</f>
        <v>Rev. Mindi Welton-Mitchell</v>
      </c>
    </row>
    <row r="16" spans="2:9" ht="21.75" customHeight="1">
      <c r="B16" s="45" t="s">
        <v>13</v>
      </c>
      <c r="C16" s="49">
        <f>COUNTIF(Data!P2:P61,"x")</f>
        <v>12</v>
      </c>
      <c r="D16" s="34" t="str">
        <f>IF(Data!A17="","—",Data!A17)</f>
        <v>ELCA LaCrosse Area Synod</v>
      </c>
      <c r="E16" s="55" t="str">
        <f>IF(Data!B17="","—",Data!B17)</f>
        <v>Bishop Felix Malpica</v>
      </c>
      <c r="F16" s="34" t="str">
        <f>IF(Data!A33="","—",Data!A33)</f>
        <v>Roman Catholic Diocese of LaCrosse</v>
      </c>
      <c r="G16" s="55" t="str">
        <f>IF(Data!B33="","—",Data!B33)</f>
        <v>Bishop Battersby</v>
      </c>
      <c r="H16" s="34" t="str">
        <f>IF(Data!A2="","—",Data!A2)</f>
        <v>African Methodist Episcopal Church, 4th District</v>
      </c>
      <c r="I16" s="55" t="str">
        <f>IF(Data!B2="","—",Data!B2)</f>
        <v>Presiding Elder James Miller</v>
      </c>
    </row>
    <row r="17" spans="2:9" ht="21.75" customHeight="1">
      <c r="B17" s="41" t="s">
        <v>15</v>
      </c>
      <c r="C17" s="50">
        <f>COUNTIF(Data!Q2:Q61,"x")</f>
        <v>16</v>
      </c>
      <c r="D17" s="29" t="str">
        <f>IF(Data!A9="","—",Data!A9)</f>
        <v>COGIC, Wisconsin First Jurisdiction</v>
      </c>
      <c r="E17" s="54" t="str">
        <f>IF(Data!B9="","—",Data!B9)</f>
        <v>Bishop Darrell Hines, Sr.</v>
      </c>
      <c r="F17" s="29" t="str">
        <f>IF(Data!A20="","—",Data!A20)</f>
        <v>ELCA South-Central Synod</v>
      </c>
      <c r="G17" s="54" t="str">
        <f>IF(Data!B20="","—",Data!B20)</f>
        <v>Bishop Joy Mortensen-Weibe</v>
      </c>
      <c r="H17" s="29" t="str">
        <f>IF(Data!A2="","—",Data!A2)</f>
        <v>African Methodist Episcopal Church, 4th District</v>
      </c>
      <c r="I17" s="54" t="str">
        <f>IF(Data!B2="","—",Data!B2)</f>
        <v>Presiding Elder James Miller</v>
      </c>
    </row>
    <row r="18" spans="2:9" ht="21.75" customHeight="1">
      <c r="B18" s="45" t="s">
        <v>16</v>
      </c>
      <c r="C18" s="49">
        <f>COUNTIF(Data!R2:R61,"x")</f>
        <v>12</v>
      </c>
      <c r="D18" s="34" t="str">
        <f>IF(Data!A20="","—",Data!A20)</f>
        <v>ELCA South-Central Synod</v>
      </c>
      <c r="E18" s="55" t="str">
        <f>IF(Data!B20="","—",Data!B20)</f>
        <v>Bishop Joy Mortensen-Weibe</v>
      </c>
      <c r="F18" s="34" t="str">
        <f>IF(Data!A31="","—",Data!A31)</f>
        <v>Roman Catholic Archdiocese of Milwaukee</v>
      </c>
      <c r="G18" s="55" t="str">
        <f>IF(Data!B31="","—",Data!B31)</f>
        <v>Archbishop Grob</v>
      </c>
      <c r="H18" s="34" t="str">
        <f>IF(Data!A2="","—",Data!A2)</f>
        <v>African Methodist Episcopal Church, 4th District</v>
      </c>
      <c r="I18" s="55" t="str">
        <f>IF(Data!B2="","—",Data!B2)</f>
        <v>Presiding Elder James Miller</v>
      </c>
    </row>
    <row r="19" spans="2:9" ht="21.75" customHeight="1">
      <c r="B19" s="41" t="s">
        <v>17</v>
      </c>
      <c r="C19" s="53">
        <f>COUNTIF(Data!S2:S61,"x")</f>
        <v>5</v>
      </c>
      <c r="D19" s="29" t="str">
        <f>IF(Data!A15="","—",Data!A15)</f>
        <v>ELCA East-Central Synod</v>
      </c>
      <c r="E19" s="54" t="str">
        <f>IF(Data!B15="","—",Data!B15)</f>
        <v>Bishop Anne Edison Albright</v>
      </c>
      <c r="F19" s="29" t="str">
        <f>IF(Data!A32="","—",Data!A32)</f>
        <v>Roman Catholic Diocese of Green Bay</v>
      </c>
      <c r="G19" s="54" t="str">
        <f>IF(Data!B32="","—",Data!B32)</f>
        <v>Bishop Ricken</v>
      </c>
      <c r="H19" s="29" t="str">
        <f>IF(Data!A30="","—",Data!A30)</f>
        <v>PC(USA), Winnebago Presbytery</v>
      </c>
      <c r="I19" s="54" t="str">
        <f>IF(Data!B30="","—",Data!B30)</f>
        <v>Rev. Dave Colby</v>
      </c>
    </row>
    <row r="20" spans="2:9" ht="21.75" customHeight="1">
      <c r="B20" s="45" t="s">
        <v>18</v>
      </c>
      <c r="C20" s="53">
        <f>COUNTIF(Data!T2:T61,"x")</f>
        <v>6</v>
      </c>
      <c r="D20" s="34" t="str">
        <f>IF(Data!A19="","—",Data!A19)</f>
        <v>ELCA Northwest Synod</v>
      </c>
      <c r="E20" s="55" t="str">
        <f>IF(Data!B19="","—",Data!B19)</f>
        <v>Bishop Martin Halom</v>
      </c>
      <c r="F20" s="34" t="str">
        <f>IF(Data!A29="","—",Data!A29)</f>
        <v>PC(USA), Northern Waters Presbytery</v>
      </c>
      <c r="G20" s="55" t="str">
        <f>IF(Data!B29="","—",Data!B29)</f>
        <v>Rev. Richard Blood</v>
      </c>
      <c r="H20" s="34" t="str">
        <f>IF(Data!A38="","—",Data!A38)</f>
        <v>UMC - WI, North East District</v>
      </c>
      <c r="I20" s="55" t="str">
        <f>IF(Data!B38="","—",Data!B38)</f>
        <v>Rev. M. Park Hunter</v>
      </c>
    </row>
    <row r="21" spans="2:9" ht="21.75" customHeight="1">
      <c r="B21" s="41" t="s">
        <v>19</v>
      </c>
      <c r="C21" s="53">
        <f>COUNTIF(Data!U2:U61,"x")</f>
        <v>7</v>
      </c>
      <c r="D21" s="29" t="str">
        <f>IF(Data!A19="","—",Data!A19)</f>
        <v>ELCA Northwest Synod</v>
      </c>
      <c r="E21" s="54" t="str">
        <f>IF(Data!B19="","—",Data!B19)</f>
        <v>Bishop Martin Halom</v>
      </c>
      <c r="F21" s="29" t="str">
        <f>IF(Data!A33="","—",Data!A33)</f>
        <v>Roman Catholic Diocese of LaCrosse</v>
      </c>
      <c r="G21" s="54" t="str">
        <f>IF(Data!B33="","—",Data!B33)</f>
        <v>Bishop Battersby</v>
      </c>
      <c r="H21" s="29" t="str">
        <f>IF(Data!A29="","—",Data!A29)</f>
        <v>PC(USA), Northern Waters Presbytery</v>
      </c>
      <c r="I21" s="54" t="str">
        <f>IF(Data!B29="","—",Data!B29)</f>
        <v>Rev. Richard Blood</v>
      </c>
    </row>
    <row r="22" spans="2:9" ht="21.75" customHeight="1">
      <c r="B22" s="45" t="s">
        <v>20</v>
      </c>
      <c r="C22" s="53">
        <f>COUNTIF(Data!V2:V61,"x")</f>
        <v>6</v>
      </c>
      <c r="D22" s="34" t="str">
        <f>IF(Data!A33="","—",Data!A33)</f>
        <v>Roman Catholic Diocese of LaCrosse</v>
      </c>
      <c r="E22" s="55" t="str">
        <f>IF(Data!B33="","—",Data!B33)</f>
        <v>Bishop Battersby</v>
      </c>
      <c r="F22" s="34" t="str">
        <f>IF(Data!A29="","—",Data!A29)</f>
        <v>PC(USA), Northern Waters Presbytery</v>
      </c>
      <c r="G22" s="55" t="str">
        <f>IF(Data!B29="","—",Data!B29)</f>
        <v>Rev. Richard Blood</v>
      </c>
      <c r="H22" s="34" t="str">
        <f>IF(Data!A38="","—",Data!A38)</f>
        <v>UMC - WI, North East District</v>
      </c>
      <c r="I22" s="55" t="str">
        <f>IF(Data!B38="","—",Data!B38)</f>
        <v>Rev. M. Park Hunter</v>
      </c>
    </row>
    <row r="23" spans="2:9" ht="21.75" customHeight="1">
      <c r="B23" s="41" t="s">
        <v>21</v>
      </c>
      <c r="C23" s="53">
        <f>COUNTIF(Data!W2:W61,"x")</f>
        <v>4</v>
      </c>
      <c r="D23" s="29" t="str">
        <f>IF(Data!A32="","—",Data!A32)</f>
        <v>Roman Catholic Diocese of Green Bay</v>
      </c>
      <c r="E23" s="54" t="str">
        <f>IF(Data!B32="","—",Data!B32)</f>
        <v>Bishop Ricken</v>
      </c>
      <c r="F23" s="29" t="str">
        <f>IF(Data!A30="","—",Data!A30)</f>
        <v>PC(USA), Winnebago Presbytery</v>
      </c>
      <c r="G23" s="54" t="str">
        <f>IF(Data!B30="","—",Data!B30)</f>
        <v>Rev. Dave Colby</v>
      </c>
      <c r="H23" s="29" t="str">
        <f>IF(Data!A36="","—",Data!A36)</f>
        <v>UCC-WI, Northern Region</v>
      </c>
      <c r="I23" s="54" t="str">
        <f>IF(Data!B36="","—",Data!B36)</f>
        <v>vacant</v>
      </c>
    </row>
    <row r="24" spans="2:9" ht="21.75" customHeight="1">
      <c r="B24" s="45" t="s">
        <v>22</v>
      </c>
      <c r="C24" s="53">
        <f>COUNTIF(Data!X2:X61,"x")</f>
        <v>6</v>
      </c>
      <c r="D24" s="34" t="str">
        <f>IF(Data!A15="","—",Data!A15)</f>
        <v>ELCA East-Central Synod</v>
      </c>
      <c r="E24" s="55" t="str">
        <f>IF(Data!B15="","—",Data!B15)</f>
        <v>Bishop Anne Edison Albright</v>
      </c>
      <c r="F24" s="34" t="str">
        <f>IF(Data!A31="","—",Data!A31)</f>
        <v>Roman Catholic Archdiocese of Milwaukee</v>
      </c>
      <c r="G24" s="55" t="str">
        <f>IF(Data!B31="","—",Data!B31)</f>
        <v>Archbishop Grob</v>
      </c>
      <c r="H24" s="34" t="str">
        <f>IF(Data!A30="","—",Data!A30)</f>
        <v>PC(USA), Winnebago Presbytery</v>
      </c>
      <c r="I24" s="55" t="str">
        <f>IF(Data!B30="","—",Data!B30)</f>
        <v>Rev. Dave Colby</v>
      </c>
    </row>
    <row r="25" spans="2:9" ht="21.75" customHeight="1">
      <c r="B25" s="41" t="s">
        <v>23</v>
      </c>
      <c r="C25" s="53">
        <f>COUNTIF(Data!Y2:Y61,"x")</f>
        <v>4</v>
      </c>
      <c r="D25" s="29" t="str">
        <f>IF(Data!A32="","—",Data!A32)</f>
        <v>Roman Catholic Diocese of Green Bay</v>
      </c>
      <c r="E25" s="54" t="str">
        <f>IF(Data!B32="","—",Data!B32)</f>
        <v>Bishop Ricken</v>
      </c>
      <c r="F25" s="29" t="str">
        <f>IF(Data!A30="","—",Data!A30)</f>
        <v>PC(USA), Winnebago Presbytery</v>
      </c>
      <c r="G25" s="54" t="str">
        <f>IF(Data!B30="","—",Data!B30)</f>
        <v>Rev. Dave Colby</v>
      </c>
      <c r="H25" s="29" t="str">
        <f>IF(Data!A36="","—",Data!A36)</f>
        <v>UCC-WI, Northern Region</v>
      </c>
      <c r="I25" s="54" t="str">
        <f>IF(Data!B36="","—",Data!B36)</f>
        <v>vacant</v>
      </c>
    </row>
    <row r="26" spans="2:9" ht="21.75" customHeight="1">
      <c r="B26" s="45" t="s">
        <v>24</v>
      </c>
      <c r="C26" s="49">
        <f>COUNTIF(Data!Z2:Z61,"x")</f>
        <v>11</v>
      </c>
      <c r="D26" s="34" t="str">
        <f>IF(Data!A20="","—",Data!A20)</f>
        <v>ELCA South-Central Synod</v>
      </c>
      <c r="E26" s="55" t="str">
        <f>IF(Data!B20="","—",Data!B20)</f>
        <v>Bishop Joy Mortensen-Weibe</v>
      </c>
      <c r="F26" s="34" t="str">
        <f>IF(Data!A2="","—",Data!A2)</f>
        <v>African Methodist Episcopal Church, 4th District</v>
      </c>
      <c r="G26" s="55" t="str">
        <f>IF(Data!B2="","—",Data!B2)</f>
        <v>Presiding Elder James Miller</v>
      </c>
      <c r="H26" s="34" t="str">
        <f>IF(Data!A3="","—",Data!A3)</f>
        <v>American Baptist Churches of Wisconsin</v>
      </c>
      <c r="I26" s="55" t="str">
        <f>IF(Data!B3="","—",Data!B3)</f>
        <v>Rev. Mindi Welton-Mitchell</v>
      </c>
    </row>
    <row r="27" spans="2:9" ht="21.75" customHeight="1">
      <c r="B27" s="41" t="s">
        <v>25</v>
      </c>
      <c r="C27" s="49">
        <f>COUNTIF(Data!AA2:AA61,"x")</f>
        <v>13</v>
      </c>
      <c r="D27" s="29" t="str">
        <f>IF(Data!A9="","—",Data!A9)</f>
        <v>COGIC, Wisconsin First Jurisdiction</v>
      </c>
      <c r="E27" s="54" t="str">
        <f>IF(Data!B9="","—",Data!B9)</f>
        <v>Bishop Darrell Hines, Sr.</v>
      </c>
      <c r="F27" s="29" t="str">
        <f>IF(Data!A20="","—",Data!A20)</f>
        <v>ELCA South-Central Synod</v>
      </c>
      <c r="G27" s="54" t="str">
        <f>IF(Data!B20="","—",Data!B20)</f>
        <v>Bishop Joy Mortensen-Weibe</v>
      </c>
      <c r="H27" s="29" t="str">
        <f>IF(Data!A2="","—",Data!A2)</f>
        <v>African Methodist Episcopal Church, 4th District</v>
      </c>
      <c r="I27" s="54" t="str">
        <f>IF(Data!B2="","—",Data!B2)</f>
        <v>Presiding Elder James Miller</v>
      </c>
    </row>
    <row r="28" spans="2:9" ht="21.75" customHeight="1">
      <c r="B28" s="45" t="s">
        <v>26</v>
      </c>
      <c r="C28" s="53">
        <f>COUNTIF(Data!AB2:AB61,"x")</f>
        <v>5</v>
      </c>
      <c r="D28" s="34" t="str">
        <f>IF(Data!A15="","—",Data!A15)</f>
        <v>ELCA East-Central Synod</v>
      </c>
      <c r="E28" s="55" t="str">
        <f>IF(Data!B15="","—",Data!B15)</f>
        <v>Bishop Anne Edison Albright</v>
      </c>
      <c r="F28" s="34" t="str">
        <f>IF(Data!A30="","—",Data!A30)</f>
        <v>PC(USA), Winnebago Presbytery</v>
      </c>
      <c r="G28" s="55" t="str">
        <f>IF(Data!B30="","—",Data!B30)</f>
        <v>Rev. Dave Colby</v>
      </c>
      <c r="H28" s="34" t="str">
        <f>IF(Data!A35="","—",Data!A35)</f>
        <v>UCC-WI, Eastern Region</v>
      </c>
      <c r="I28" s="55" t="str">
        <f>IF(Data!B35="","—",Data!B35)</f>
        <v>Rev. Jane Anderson</v>
      </c>
    </row>
    <row r="29" spans="2:9" ht="21.75" customHeight="1">
      <c r="B29" s="41" t="s">
        <v>27</v>
      </c>
      <c r="C29" s="49">
        <f>COUNTIF(Data!AC2:AC61,"x")</f>
        <v>10</v>
      </c>
      <c r="D29" s="29" t="str">
        <f>IF(Data!A20="","—",Data!A20)</f>
        <v>ELCA South-Central Synod</v>
      </c>
      <c r="E29" s="54" t="str">
        <f>IF(Data!B20="","—",Data!B20)</f>
        <v>Bishop Joy Mortensen-Weibe</v>
      </c>
      <c r="F29" s="29" t="str">
        <f>IF(Data!A2="","—",Data!A2)</f>
        <v>African Methodist Episcopal Church, 4th District</v>
      </c>
      <c r="G29" s="54" t="str">
        <f>IF(Data!B2="","—",Data!B2)</f>
        <v>Presiding Elder James Miller</v>
      </c>
      <c r="H29" s="29" t="str">
        <f>IF(Data!A3="","—",Data!A3)</f>
        <v>American Baptist Churches of Wisconsin</v>
      </c>
      <c r="I29" s="54" t="str">
        <f>IF(Data!B3="","—",Data!B3)</f>
        <v>Rev. Mindi Welton-Mitchell</v>
      </c>
    </row>
    <row r="30" spans="2:9" ht="21.75" customHeight="1">
      <c r="B30" s="45" t="s">
        <v>28</v>
      </c>
      <c r="C30" s="53">
        <f>COUNTIF(Data!AD2:AD61,"x")</f>
        <v>5</v>
      </c>
      <c r="D30" s="34" t="str">
        <f>IF(Data!A29="","—",Data!A29)</f>
        <v>PC(USA), Northern Waters Presbytery</v>
      </c>
      <c r="E30" s="55" t="str">
        <f>IF(Data!B29="","—",Data!B29)</f>
        <v>Rev. Richard Blood</v>
      </c>
      <c r="F30" s="34" t="str">
        <f>IF(Data!A38="","—",Data!A38)</f>
        <v>UMC - WI, North East District</v>
      </c>
      <c r="G30" s="55" t="str">
        <f>IF(Data!B38="","—",Data!B38)</f>
        <v>Rev. M. Park Hunter</v>
      </c>
      <c r="H30" s="34" t="str">
        <f>IF(Data!A36="","—",Data!A36)</f>
        <v>UCC-WI, Northern Region</v>
      </c>
      <c r="I30" s="55" t="str">
        <f>IF(Data!B36="","—",Data!B36)</f>
        <v>vacant</v>
      </c>
    </row>
    <row r="31" spans="2:9" ht="21.75" customHeight="1">
      <c r="B31" s="41" t="s">
        <v>29</v>
      </c>
      <c r="C31" s="53">
        <f>COUNTIF(Data!AE2:AE61,"x")</f>
        <v>7</v>
      </c>
      <c r="D31" s="29" t="str">
        <f>IF(Data!A19="","—",Data!A19)</f>
        <v>ELCA Northwest Synod</v>
      </c>
      <c r="E31" s="54" t="str">
        <f>IF(Data!B19="","—",Data!B19)</f>
        <v>Bishop Martin Halom</v>
      </c>
      <c r="F31" s="29" t="str">
        <f>IF(Data!A33="","—",Data!A33)</f>
        <v>Roman Catholic Diocese of LaCrosse</v>
      </c>
      <c r="G31" s="54" t="str">
        <f>IF(Data!B33="","—",Data!B33)</f>
        <v>Bishop Battersby</v>
      </c>
      <c r="H31" s="29" t="str">
        <f>IF(Data!A27="","—",Data!A27)</f>
        <v>PC(USA), John Knox Presbytery</v>
      </c>
      <c r="I31" s="54" t="str">
        <f>IF(Data!B27="","—",Data!B27)</f>
        <v>Rev. Devon Reynolds</v>
      </c>
    </row>
    <row r="32" spans="2:9" ht="21.75" customHeight="1">
      <c r="B32" s="45" t="s">
        <v>182</v>
      </c>
      <c r="C32" s="49">
        <f>COUNTIF(Data!AF2:AF61,"x")</f>
        <v>11</v>
      </c>
      <c r="D32" s="34" t="str">
        <f>IF(Data!A20="","—",Data!A20)</f>
        <v>ELCA South-Central Synod</v>
      </c>
      <c r="E32" s="55" t="str">
        <f>IF(Data!B20="","—",Data!B20)</f>
        <v>Bishop Joy Mortensen-Weibe</v>
      </c>
      <c r="F32" s="34" t="str">
        <f>IF(Data!A2="","—",Data!A2)</f>
        <v>African Methodist Episcopal Church, 4th District</v>
      </c>
      <c r="G32" s="55" t="str">
        <f>IF(Data!B2="","—",Data!B2)</f>
        <v>Presiding Elder James Miller</v>
      </c>
      <c r="H32" s="34" t="str">
        <f>IF(Data!A3="","—",Data!A3)</f>
        <v>American Baptist Churches of Wisconsin</v>
      </c>
      <c r="I32" s="55" t="str">
        <f>IF(Data!B3="","—",Data!B3)</f>
        <v>Rev. Mindi Welton-Mitchell</v>
      </c>
    </row>
    <row r="33" spans="2:9" ht="21.75" customHeight="1">
      <c r="B33" s="41" t="s">
        <v>31</v>
      </c>
      <c r="C33" s="53">
        <f>COUNTIF(Data!AG2:AG61,"x")</f>
        <v>5</v>
      </c>
      <c r="D33" s="29" t="str">
        <f>IF(Data!A33="","—",Data!A33)</f>
        <v>Roman Catholic Diocese of LaCrosse</v>
      </c>
      <c r="E33" s="54" t="str">
        <f>IF(Data!B33="","—",Data!B33)</f>
        <v>Bishop Battersby</v>
      </c>
      <c r="F33" s="29" t="str">
        <f>IF(Data!A27="","—",Data!A27)</f>
        <v>PC(USA), John Knox Presbytery</v>
      </c>
      <c r="G33" s="54" t="str">
        <f>IF(Data!B27="","—",Data!B27)</f>
        <v>Rev. Devon Reynolds</v>
      </c>
      <c r="H33" s="29" t="str">
        <f>IF(Data!A37="","—",Data!A37)</f>
        <v>UCC-WI, Southern Region</v>
      </c>
      <c r="I33" s="54" t="str">
        <f>IF(Data!B37="","—",Data!B37)</f>
        <v>Rev. Rachel Bauman</v>
      </c>
    </row>
    <row r="34" spans="2:9" ht="21.75" customHeight="1">
      <c r="B34" s="45" t="s">
        <v>32</v>
      </c>
      <c r="C34" s="49">
        <f>COUNTIF(Data!AH2:AH61,"x")</f>
        <v>12</v>
      </c>
      <c r="D34" s="34" t="str">
        <f>IF(Data!A17="","—",Data!A17)</f>
        <v>ELCA LaCrosse Area Synod</v>
      </c>
      <c r="E34" s="55" t="str">
        <f>IF(Data!B17="","—",Data!B17)</f>
        <v>Bishop Felix Malpica</v>
      </c>
      <c r="F34" s="34" t="str">
        <f>IF(Data!A31="","—",Data!A31)</f>
        <v>Roman Catholic Archdiocese of Milwaukee</v>
      </c>
      <c r="G34" s="55" t="str">
        <f>IF(Data!B31="","—",Data!B31)</f>
        <v>Archbishop Grob</v>
      </c>
      <c r="H34" s="34" t="str">
        <f>IF(Data!A2="","—",Data!A2)</f>
        <v>African Methodist Episcopal Church, 4th District</v>
      </c>
      <c r="I34" s="55" t="str">
        <f>IF(Data!B2="","—",Data!B2)</f>
        <v>Presiding Elder James Miller</v>
      </c>
    </row>
    <row r="35" spans="2:9" ht="21.75" customHeight="1">
      <c r="B35" s="41" t="s">
        <v>33</v>
      </c>
      <c r="C35" s="53">
        <f>COUNTIF(Data!AI2:AI61,"x")</f>
        <v>5</v>
      </c>
      <c r="D35" s="29" t="str">
        <f>IF(Data!A15="","—",Data!A15)</f>
        <v>ELCA East-Central Synod</v>
      </c>
      <c r="E35" s="54" t="str">
        <f>IF(Data!B15="","—",Data!B15)</f>
        <v>Bishop Anne Edison Albright</v>
      </c>
      <c r="F35" s="29" t="str">
        <f>IF(Data!A32="","—",Data!A32)</f>
        <v>Roman Catholic Diocese of Green Bay</v>
      </c>
      <c r="G35" s="54" t="str">
        <f>IF(Data!B32="","—",Data!B32)</f>
        <v>Bishop Ricken</v>
      </c>
      <c r="H35" s="29" t="str">
        <f>IF(Data!A30="","—",Data!A30)</f>
        <v>PC(USA), Winnebago Presbytery</v>
      </c>
      <c r="I35" s="54" t="str">
        <f>IF(Data!B30="","—",Data!B30)</f>
        <v>Rev. Dave Colby</v>
      </c>
    </row>
    <row r="36" spans="2:9" ht="21.75" customHeight="1">
      <c r="B36" s="45" t="s">
        <v>34</v>
      </c>
      <c r="C36" s="53">
        <f>COUNTIF(Data!AJ2:AJ61,"x")</f>
        <v>7</v>
      </c>
      <c r="D36" s="34" t="str">
        <f>IF(Data!A17="","—",Data!A17)</f>
        <v>ELCA LaCrosse Area Synod</v>
      </c>
      <c r="E36" s="55" t="str">
        <f>IF(Data!B17="","—",Data!B17)</f>
        <v>Bishop Felix Malpica</v>
      </c>
      <c r="F36" s="34" t="str">
        <f>IF(Data!A33="","—",Data!A33)</f>
        <v>Roman Catholic Diocese of LaCrosse</v>
      </c>
      <c r="G36" s="55" t="str">
        <f>IF(Data!B33="","—",Data!B33)</f>
        <v>Bishop Battersby</v>
      </c>
      <c r="H36" s="34" t="str">
        <f>IF(Data!A27="","—",Data!A27)</f>
        <v>PC(USA), John Knox Presbytery</v>
      </c>
      <c r="I36" s="55" t="str">
        <f>IF(Data!B27="","—",Data!B27)</f>
        <v>Rev. Devon Reynolds</v>
      </c>
    </row>
    <row r="37" spans="2:9" ht="21.75" customHeight="1">
      <c r="B37" s="41" t="s">
        <v>35</v>
      </c>
      <c r="C37" s="49">
        <f>COUNTIF(Data!AK2:AK61,"x")</f>
        <v>10</v>
      </c>
      <c r="D37" s="29" t="str">
        <f>IF(Data!A20="","—",Data!A20)</f>
        <v>ELCA South-Central Synod</v>
      </c>
      <c r="E37" s="54" t="str">
        <f>IF(Data!B20="","—",Data!B20)</f>
        <v>Bishop Joy Mortensen-Weibe</v>
      </c>
      <c r="F37" s="29" t="str">
        <f>IF(Data!A2="","—",Data!A2)</f>
        <v>African Methodist Episcopal Church, 4th District</v>
      </c>
      <c r="G37" s="54" t="str">
        <f>IF(Data!B2="","—",Data!B2)</f>
        <v>Presiding Elder James Miller</v>
      </c>
      <c r="H37" s="29" t="str">
        <f>IF(Data!A3="","—",Data!A3)</f>
        <v>American Baptist Churches of Wisconsin</v>
      </c>
      <c r="I37" s="54" t="str">
        <f>IF(Data!B3="","—",Data!B3)</f>
        <v>Rev. Mindi Welton-Mitchell</v>
      </c>
    </row>
    <row r="38" spans="2:9" ht="21.75" customHeight="1">
      <c r="B38" s="45" t="s">
        <v>36</v>
      </c>
      <c r="C38" s="53">
        <f>COUNTIF(Data!AL2:AL61,"x")</f>
        <v>5</v>
      </c>
      <c r="D38" s="34" t="str">
        <f>IF(Data!A15="","—",Data!A15)</f>
        <v>ELCA East-Central Synod</v>
      </c>
      <c r="E38" s="55" t="str">
        <f>IF(Data!B15="","—",Data!B15)</f>
        <v>Bishop Anne Edison Albright</v>
      </c>
      <c r="F38" s="34" t="str">
        <f>IF(Data!A32="","—",Data!A32)</f>
        <v>Roman Catholic Diocese of Green Bay</v>
      </c>
      <c r="G38" s="55" t="str">
        <f>IF(Data!B32="","—",Data!B32)</f>
        <v>Bishop Ricken</v>
      </c>
      <c r="H38" s="34" t="str">
        <f>IF(Data!A30="","—",Data!A30)</f>
        <v>PC(USA), Winnebago Presbytery</v>
      </c>
      <c r="I38" s="55" t="str">
        <f>IF(Data!B30="","—",Data!B30)</f>
        <v>Rev. Dave Colby</v>
      </c>
    </row>
    <row r="39" spans="2:9" ht="21.75" customHeight="1">
      <c r="B39" s="41" t="s">
        <v>37</v>
      </c>
      <c r="C39" s="53">
        <f>COUNTIF(Data!AM2:AM61,"x")</f>
        <v>4</v>
      </c>
      <c r="D39" s="29" t="str">
        <f>IF(Data!A15="","—",Data!A15)</f>
        <v>ELCA East-Central Synod</v>
      </c>
      <c r="E39" s="54" t="str">
        <f>IF(Data!B15="","—",Data!B15)</f>
        <v>Bishop Anne Edison Albright</v>
      </c>
      <c r="F39" s="29" t="str">
        <f>IF(Data!A30="","—",Data!A30)</f>
        <v>PC(USA), Winnebago Presbytery</v>
      </c>
      <c r="G39" s="54" t="str">
        <f>IF(Data!B30="","—",Data!B30)</f>
        <v>Rev. Dave Colby</v>
      </c>
      <c r="H39" s="29" t="str">
        <f>IF(Data!A36="","—",Data!A36)</f>
        <v>UCC-WI, Northern Region</v>
      </c>
      <c r="I39" s="54" t="str">
        <f>IF(Data!B36="","—",Data!B36)</f>
        <v>vacant</v>
      </c>
    </row>
    <row r="40" spans="2:9" ht="21.75" customHeight="1">
      <c r="B40" s="45" t="s">
        <v>38</v>
      </c>
      <c r="C40" s="53">
        <f>COUNTIF(Data!AN2:AN61,"x")</f>
        <v>5</v>
      </c>
      <c r="D40" s="34" t="str">
        <f>IF(Data!A15="","—",Data!A15)</f>
        <v>ELCA East-Central Synod</v>
      </c>
      <c r="E40" s="55" t="str">
        <f>IF(Data!B15="","—",Data!B15)</f>
        <v>Bishop Anne Edison Albright</v>
      </c>
      <c r="F40" s="34" t="str">
        <f>IF(Data!A32="","—",Data!A32)</f>
        <v>Roman Catholic Diocese of Green Bay</v>
      </c>
      <c r="G40" s="55" t="str">
        <f>IF(Data!B32="","—",Data!B32)</f>
        <v>Bishop Ricken</v>
      </c>
      <c r="H40" s="34" t="str">
        <f>IF(Data!A30="","—",Data!A30)</f>
        <v>PC(USA), Winnebago Presbytery</v>
      </c>
      <c r="I40" s="55" t="str">
        <f>IF(Data!B30="","—",Data!B30)</f>
        <v>Rev. Dave Colby</v>
      </c>
    </row>
    <row r="41" spans="2:9" ht="21.75" customHeight="1">
      <c r="B41" s="41" t="s">
        <v>39</v>
      </c>
      <c r="C41" s="53">
        <f>COUNTIF(Data!AO2:AO61,"x")</f>
        <v>6</v>
      </c>
      <c r="D41" s="29" t="str">
        <f>IF(Data!A15="","—",Data!A15)</f>
        <v>ELCA East-Central Synod</v>
      </c>
      <c r="E41" s="54" t="str">
        <f>IF(Data!B15="","—",Data!B15)</f>
        <v>Bishop Anne Edison Albright</v>
      </c>
      <c r="F41" s="29" t="str">
        <f>IF(Data!A19="","—",Data!A19)</f>
        <v>ELCA Northwest Synod</v>
      </c>
      <c r="G41" s="54" t="str">
        <f>IF(Data!B19="","—",Data!B19)</f>
        <v>Bishop Martin Halom</v>
      </c>
      <c r="H41" s="29" t="str">
        <f>IF(Data!A33="","—",Data!A33)</f>
        <v>Roman Catholic Diocese of LaCrosse</v>
      </c>
      <c r="I41" s="54" t="str">
        <f>IF(Data!B33="","—",Data!B33)</f>
        <v>Bishop Battersby</v>
      </c>
    </row>
    <row r="42" spans="2:9" ht="21.75" customHeight="1">
      <c r="B42" s="45" t="s">
        <v>40</v>
      </c>
      <c r="C42" s="53">
        <f>COUNTIF(Data!AP2:AP61,"x")</f>
        <v>4</v>
      </c>
      <c r="D42" s="34" t="str">
        <f>IF(Data!A32="","—",Data!A32)</f>
        <v>Roman Catholic Diocese of Green Bay</v>
      </c>
      <c r="E42" s="55" t="str">
        <f>IF(Data!B32="","—",Data!B32)</f>
        <v>Bishop Ricken</v>
      </c>
      <c r="F42" s="34" t="str">
        <f>IF(Data!A30="","—",Data!A30)</f>
        <v>PC(USA), Winnebago Presbytery</v>
      </c>
      <c r="G42" s="55" t="str">
        <f>IF(Data!B30="","—",Data!B30)</f>
        <v>Rev. Dave Colby</v>
      </c>
      <c r="H42" s="34" t="str">
        <f>IF(Data!A35="","—",Data!A35)</f>
        <v>UCC-WI, Eastern Region</v>
      </c>
      <c r="I42" s="55" t="str">
        <f>IF(Data!B35="","—",Data!B35)</f>
        <v>Rev. Jane Anderson</v>
      </c>
    </row>
    <row r="43" spans="2:9" ht="21.75" customHeight="1">
      <c r="B43" s="41" t="s">
        <v>41</v>
      </c>
      <c r="C43" s="53">
        <f>COUNTIF(Data!AQ2:AQ61,"x")</f>
        <v>5</v>
      </c>
      <c r="D43" s="29" t="str">
        <f>IF(Data!A15="","—",Data!A15)</f>
        <v>ELCA East-Central Synod</v>
      </c>
      <c r="E43" s="54" t="str">
        <f>IF(Data!B15="","—",Data!B15)</f>
        <v>Bishop Anne Edison Albright</v>
      </c>
      <c r="F43" s="29" t="str">
        <f>IF(Data!A27="","—",Data!A27)</f>
        <v>PC(USA), John Knox Presbytery</v>
      </c>
      <c r="G43" s="54" t="str">
        <f>IF(Data!B27="","—",Data!B27)</f>
        <v>Rev. Devon Reynolds</v>
      </c>
      <c r="H43" s="29" t="str">
        <f>IF(Data!A37="","—",Data!A37)</f>
        <v>UCC-WI, Southern Region</v>
      </c>
      <c r="I43" s="54" t="str">
        <f>IF(Data!B37="","—",Data!B37)</f>
        <v>Rev. Rachel Bauman</v>
      </c>
    </row>
    <row r="44" spans="2:9" ht="21.75" customHeight="1">
      <c r="B44" s="45" t="s">
        <v>42</v>
      </c>
      <c r="C44" s="53">
        <f>COUNTIF(Data!AR2:AR61,"x")</f>
        <v>5</v>
      </c>
      <c r="D44" s="34" t="str">
        <f>IF(Data!A15="","—",Data!A15)</f>
        <v>ELCA East-Central Synod</v>
      </c>
      <c r="E44" s="55" t="str">
        <f>IF(Data!B15="","—",Data!B15)</f>
        <v>Bishop Anne Edison Albright</v>
      </c>
      <c r="F44" s="34" t="str">
        <f>IF(Data!A32="","—",Data!A32)</f>
        <v>Roman Catholic Diocese of Green Bay</v>
      </c>
      <c r="G44" s="55" t="str">
        <f>IF(Data!B32="","—",Data!B32)</f>
        <v>Bishop Ricken</v>
      </c>
      <c r="H44" s="34" t="str">
        <f>IF(Data!A30="","—",Data!A30)</f>
        <v>PC(USA), Winnebago Presbytery</v>
      </c>
      <c r="I44" s="55" t="str">
        <f>IF(Data!B30="","—",Data!B30)</f>
        <v>Rev. Dave Colby</v>
      </c>
    </row>
    <row r="45" spans="2:9" ht="21.75" customHeight="1">
      <c r="B45" s="41" t="s">
        <v>43</v>
      </c>
      <c r="C45" s="50">
        <f>COUNTIF(Data!AS2:AS61,"x")</f>
        <v>20</v>
      </c>
      <c r="D45" s="29" t="str">
        <f>IF(Data!A9="","—",Data!A9)</f>
        <v>COGIC, Wisconsin First Jurisdiction</v>
      </c>
      <c r="E45" s="54" t="str">
        <f>IF(Data!B9="","—",Data!B9)</f>
        <v>Bishop Darrell Hines, Sr.</v>
      </c>
      <c r="F45" s="29" t="str">
        <f>IF(Data!A10="","—",Data!A10)</f>
        <v>COGIC, Wisconsin Northwest Jurisdiction</v>
      </c>
      <c r="G45" s="54" t="str">
        <f>IF(Data!B10="","—",Data!B10)</f>
        <v>Bishop CH McClelland</v>
      </c>
      <c r="H45" s="29" t="str">
        <f>IF(Data!A16="","—",Data!A16)</f>
        <v>ELCA Greater Milwaukee Synod</v>
      </c>
      <c r="I45" s="54" t="str">
        <f>IF(Data!B16="","—",Data!B16)</f>
        <v>Bishop Paul Erickson</v>
      </c>
    </row>
    <row r="46" spans="2:9" ht="21.75" customHeight="1">
      <c r="B46" s="45" t="s">
        <v>44</v>
      </c>
      <c r="C46" s="53">
        <f>COUNTIF(Data!AT2:AT61,"x")</f>
        <v>5</v>
      </c>
      <c r="D46" s="34" t="str">
        <f>IF(Data!A33="","—",Data!A33)</f>
        <v>Roman Catholic Diocese of LaCrosse</v>
      </c>
      <c r="E46" s="55" t="str">
        <f>IF(Data!B33="","—",Data!B33)</f>
        <v>Bishop Battersby</v>
      </c>
      <c r="F46" s="34" t="str">
        <f>IF(Data!A27="","—",Data!A27)</f>
        <v>PC(USA), John Knox Presbytery</v>
      </c>
      <c r="G46" s="55" t="str">
        <f>IF(Data!B27="","—",Data!B27)</f>
        <v>Rev. Devon Reynolds</v>
      </c>
      <c r="H46" s="34" t="str">
        <f>IF(Data!A41="","—",Data!A41)</f>
        <v>UMC - WI, South West District</v>
      </c>
      <c r="I46" s="55" t="str">
        <f>IF(Data!B41="","—",Data!B41)</f>
        <v>Rev. In Sun Lee</v>
      </c>
    </row>
    <row r="47" spans="2:9" ht="21.75" customHeight="1">
      <c r="B47" s="41" t="s">
        <v>45</v>
      </c>
      <c r="C47" s="53">
        <f>COUNTIF(Data!AU2:AU61,"x")</f>
        <v>5</v>
      </c>
      <c r="D47" s="29" t="str">
        <f>IF(Data!A15="","—",Data!A15)</f>
        <v>ELCA East-Central Synod</v>
      </c>
      <c r="E47" s="54" t="str">
        <f>IF(Data!B15="","—",Data!B15)</f>
        <v>Bishop Anne Edison Albright</v>
      </c>
      <c r="F47" s="29" t="str">
        <f>IF(Data!A32="","—",Data!A32)</f>
        <v>Roman Catholic Diocese of Green Bay</v>
      </c>
      <c r="G47" s="54" t="str">
        <f>IF(Data!B32="","—",Data!B32)</f>
        <v>Bishop Ricken</v>
      </c>
      <c r="H47" s="29" t="str">
        <f>IF(Data!A30="","—",Data!A30)</f>
        <v>PC(USA), Winnebago Presbytery</v>
      </c>
      <c r="I47" s="54" t="str">
        <f>IF(Data!B30="","—",Data!B30)</f>
        <v>Rev. Dave Colby</v>
      </c>
    </row>
    <row r="48" spans="2:9" ht="21.75" customHeight="1">
      <c r="B48" s="45" t="s">
        <v>46</v>
      </c>
      <c r="C48" s="53">
        <f>COUNTIF(Data!AV2:AV61,"x")</f>
        <v>3</v>
      </c>
      <c r="D48" s="34" t="str">
        <f>IF(Data!A30="","—",Data!A30)</f>
        <v>PC(USA), Winnebago Presbytery</v>
      </c>
      <c r="E48" s="55" t="str">
        <f>IF(Data!B30="","—",Data!B30)</f>
        <v>Rev. Dave Colby</v>
      </c>
      <c r="F48" s="34" t="str">
        <f>IF(Data!A36="","—",Data!A36)</f>
        <v>UCC-WI, Northern Region</v>
      </c>
      <c r="G48" s="55" t="str">
        <f>IF(Data!B36="","—",Data!B36)</f>
        <v>vacant</v>
      </c>
      <c r="H48" s="56" t="s">
        <v>240</v>
      </c>
      <c r="I48" s="56" t="s">
        <v>240</v>
      </c>
    </row>
    <row r="49" spans="2:9" ht="21.75" customHeight="1">
      <c r="B49" s="41" t="s">
        <v>47</v>
      </c>
      <c r="C49" s="53">
        <f>COUNTIF(Data!AW2:AW61,"x")</f>
        <v>5</v>
      </c>
      <c r="D49" s="29" t="str">
        <f>IF(Data!A32="","—",Data!A32)</f>
        <v>Roman Catholic Diocese of Green Bay</v>
      </c>
      <c r="E49" s="54" t="str">
        <f>IF(Data!B32="","—",Data!B32)</f>
        <v>Bishop Ricken</v>
      </c>
      <c r="F49" s="29" t="str">
        <f>IF(Data!A30="","—",Data!A30)</f>
        <v>PC(USA), Winnebago Presbytery</v>
      </c>
      <c r="G49" s="54" t="str">
        <f>IF(Data!B30="","—",Data!B30)</f>
        <v>Rev. Dave Colby</v>
      </c>
      <c r="H49" s="29" t="str">
        <f>IF(Data!A35="","—",Data!A35)</f>
        <v>UCC-WI, Eastern Region</v>
      </c>
      <c r="I49" s="54" t="str">
        <f>IF(Data!B35="","—",Data!B35)</f>
        <v>Rev. Jane Anderson</v>
      </c>
    </row>
    <row r="50" spans="2:9" ht="21.75" customHeight="1">
      <c r="B50" s="45" t="s">
        <v>48</v>
      </c>
      <c r="C50" s="49">
        <f>COUNTIF(Data!AX2:AX61,"x")</f>
        <v>11</v>
      </c>
      <c r="D50" s="34" t="str">
        <f>IF(Data!A16="","—",Data!A16)</f>
        <v>ELCA Greater Milwaukee Synod</v>
      </c>
      <c r="E50" s="55" t="str">
        <f>IF(Data!B16="","—",Data!B16)</f>
        <v>Bishop Paul Erickson</v>
      </c>
      <c r="F50" s="34" t="str">
        <f>IF(Data!A31="","—",Data!A31)</f>
        <v>Roman Catholic Archdiocese of Milwaukee</v>
      </c>
      <c r="G50" s="55" t="str">
        <f>IF(Data!B31="","—",Data!B31)</f>
        <v>Archbishop Grob</v>
      </c>
      <c r="H50" s="34" t="str">
        <f>IF(Data!A2="","—",Data!A2)</f>
        <v>African Methodist Episcopal Church, 4th District</v>
      </c>
      <c r="I50" s="55" t="str">
        <f>IF(Data!B2="","—",Data!B2)</f>
        <v>Presiding Elder James Miller</v>
      </c>
    </row>
    <row r="51" spans="2:9" ht="21.75" customHeight="1">
      <c r="B51" s="41" t="s">
        <v>49</v>
      </c>
      <c r="C51" s="48">
        <f>COUNTIF(Data!AY2:AY61,"x")</f>
        <v>8</v>
      </c>
      <c r="D51" s="29" t="str">
        <f>IF(Data!A19="","—",Data!A19)</f>
        <v>ELCA Northwest Synod</v>
      </c>
      <c r="E51" s="54" t="str">
        <f>IF(Data!B19="","—",Data!B19)</f>
        <v>Bishop Martin Halom</v>
      </c>
      <c r="F51" s="29" t="str">
        <f>IF(Data!A33="","—",Data!A33)</f>
        <v>Roman Catholic Diocese of LaCrosse</v>
      </c>
      <c r="G51" s="54" t="str">
        <f>IF(Data!B33="","—",Data!B33)</f>
        <v>Bishop Battersby</v>
      </c>
      <c r="H51" s="29" t="str">
        <f>IF(Data!A29="","—",Data!A29)</f>
        <v>PC(USA), Northern Waters Presbytery</v>
      </c>
      <c r="I51" s="54" t="str">
        <f>IF(Data!B29="","—",Data!B29)</f>
        <v>Rev. Richard Blood</v>
      </c>
    </row>
    <row r="52" spans="2:9" ht="21.75" customHeight="1">
      <c r="B52" s="45" t="s">
        <v>50</v>
      </c>
      <c r="C52" s="53">
        <f>COUNTIF(Data!AZ2:AZ61,"x")</f>
        <v>6</v>
      </c>
      <c r="D52" s="34" t="str">
        <f>IF(Data!A33="","—",Data!A33)</f>
        <v>Roman Catholic Diocese of LaCrosse</v>
      </c>
      <c r="E52" s="55" t="str">
        <f>IF(Data!B33="","—",Data!B33)</f>
        <v>Bishop Battersby</v>
      </c>
      <c r="F52" s="34" t="str">
        <f>IF(Data!A29="","—",Data!A29)</f>
        <v>PC(USA), Northern Waters Presbytery</v>
      </c>
      <c r="G52" s="55" t="str">
        <f>IF(Data!B29="","—",Data!B29)</f>
        <v>Rev. Richard Blood</v>
      </c>
      <c r="H52" s="34" t="str">
        <f>IF(Data!A38="","—",Data!A38)</f>
        <v>UMC - WI, North East District</v>
      </c>
      <c r="I52" s="55" t="str">
        <f>IF(Data!B38="","—",Data!B38)</f>
        <v>Rev. M. Park Hunter</v>
      </c>
    </row>
    <row r="53" spans="2:9" ht="21.75" customHeight="1">
      <c r="B53" s="41" t="s">
        <v>51</v>
      </c>
      <c r="C53" s="53">
        <f>COUNTIF(Data!BA2:BA61,"x")</f>
        <v>5</v>
      </c>
      <c r="D53" s="29" t="str">
        <f>IF(Data!A29="","—",Data!A29)</f>
        <v>PC(USA), Northern Waters Presbytery</v>
      </c>
      <c r="E53" s="54" t="str">
        <f>IF(Data!B29="","—",Data!B29)</f>
        <v>Rev. Richard Blood</v>
      </c>
      <c r="F53" s="29" t="str">
        <f>IF(Data!A38="","—",Data!A38)</f>
        <v>UMC - WI, North East District</v>
      </c>
      <c r="G53" s="54" t="str">
        <f>IF(Data!B38="","—",Data!B38)</f>
        <v>Rev. M. Park Hunter</v>
      </c>
      <c r="H53" s="29" t="str">
        <f>IF(Data!A36="","—",Data!A36)</f>
        <v>UCC-WI, Northern Region</v>
      </c>
      <c r="I53" s="54" t="str">
        <f>IF(Data!B36="","—",Data!B36)</f>
        <v>vacant</v>
      </c>
    </row>
    <row r="54" spans="2:9" ht="21.75" customHeight="1">
      <c r="B54" s="45" t="s">
        <v>52</v>
      </c>
      <c r="C54" s="53">
        <f>COUNTIF(Data!BB2:BB61,"x")</f>
        <v>5</v>
      </c>
      <c r="D54" s="34" t="str">
        <f>IF(Data!A15="","—",Data!A15)</f>
        <v>ELCA East-Central Synod</v>
      </c>
      <c r="E54" s="55" t="str">
        <f>IF(Data!B15="","—",Data!B15)</f>
        <v>Bishop Anne Edison Albright</v>
      </c>
      <c r="F54" s="34" t="str">
        <f>IF(Data!A33="","—",Data!A33)</f>
        <v>Roman Catholic Diocese of LaCrosse</v>
      </c>
      <c r="G54" s="55" t="str">
        <f>IF(Data!B33="","—",Data!B33)</f>
        <v>Bishop Battersby</v>
      </c>
      <c r="H54" s="34" t="str">
        <f>IF(Data!A30="","—",Data!A30)</f>
        <v>PC(USA), Winnebago Presbytery</v>
      </c>
      <c r="I54" s="55" t="str">
        <f>IF(Data!B30="","—",Data!B30)</f>
        <v>Rev. Dave Colby</v>
      </c>
    </row>
    <row r="55" spans="2:9" ht="21.75" customHeight="1">
      <c r="B55" s="41" t="s">
        <v>53</v>
      </c>
      <c r="C55" s="53">
        <f>COUNTIF(Data!BC2:BC61,"x")</f>
        <v>6</v>
      </c>
      <c r="D55" s="29" t="str">
        <f>IF(Data!A19="","—",Data!A19)</f>
        <v>ELCA Northwest Synod</v>
      </c>
      <c r="E55" s="54" t="str">
        <f>IF(Data!B19="","—",Data!B19)</f>
        <v>Bishop Martin Halom</v>
      </c>
      <c r="F55" s="29" t="str">
        <f>IF(Data!A29="","—",Data!A29)</f>
        <v>PC(USA), Northern Waters Presbytery</v>
      </c>
      <c r="G55" s="54" t="str">
        <f>IF(Data!B29="","—",Data!B29)</f>
        <v>Rev. Richard Blood</v>
      </c>
      <c r="H55" s="29" t="str">
        <f>IF(Data!A38="","—",Data!A38)</f>
        <v>UMC - WI, North East District</v>
      </c>
      <c r="I55" s="54" t="str">
        <f>IF(Data!B38="","—",Data!B38)</f>
        <v>Rev. M. Park Hunter</v>
      </c>
    </row>
    <row r="56" spans="2:9" ht="21.75" customHeight="1">
      <c r="B56" s="45" t="s">
        <v>54</v>
      </c>
      <c r="C56" s="49">
        <f>COUNTIF(Data!BD2:BD61,"x")</f>
        <v>12</v>
      </c>
      <c r="D56" s="34" t="str">
        <f>IF(Data!A16="","—",Data!A16)</f>
        <v>ELCA Greater Milwaukee Synod</v>
      </c>
      <c r="E56" s="55" t="str">
        <f>IF(Data!B16="","—",Data!B16)</f>
        <v>Bishop Paul Erickson</v>
      </c>
      <c r="F56" s="34" t="str">
        <f>IF(Data!A31="","—",Data!A31)</f>
        <v>Roman Catholic Archdiocese of Milwaukee</v>
      </c>
      <c r="G56" s="55" t="str">
        <f>IF(Data!B31="","—",Data!B31)</f>
        <v>Archbishop Grob</v>
      </c>
      <c r="H56" s="34" t="str">
        <f>IF(Data!A2="","—",Data!A2)</f>
        <v>African Methodist Episcopal Church, 4th District</v>
      </c>
      <c r="I56" s="55" t="str">
        <f>IF(Data!B2="","—",Data!B2)</f>
        <v>Presiding Elder James Miller</v>
      </c>
    </row>
    <row r="57" spans="2:9" ht="21.75" customHeight="1">
      <c r="B57" s="41" t="s">
        <v>55</v>
      </c>
      <c r="C57" s="49">
        <f>COUNTIF(Data!BE2:BE61,"x")</f>
        <v>11</v>
      </c>
      <c r="D57" s="29" t="str">
        <f>IF(Data!A20="","—",Data!A20)</f>
        <v>ELCA South-Central Synod</v>
      </c>
      <c r="E57" s="54" t="str">
        <f>IF(Data!B20="","—",Data!B20)</f>
        <v>Bishop Joy Mortensen-Weibe</v>
      </c>
      <c r="F57" s="29" t="str">
        <f>IF(Data!A33="","—",Data!A33)</f>
        <v>Roman Catholic Diocese of LaCrosse</v>
      </c>
      <c r="G57" s="54" t="str">
        <f>IF(Data!B33="","—",Data!B33)</f>
        <v>Bishop Battersby</v>
      </c>
      <c r="H57" s="29" t="str">
        <f>IF(Data!A2="","—",Data!A2)</f>
        <v>African Methodist Episcopal Church, 4th District</v>
      </c>
      <c r="I57" s="54" t="str">
        <f>IF(Data!B2="","—",Data!B2)</f>
        <v>Presiding Elder James Miller</v>
      </c>
    </row>
    <row r="58" spans="2:9" ht="21.75" customHeight="1">
      <c r="B58" s="45" t="s">
        <v>56</v>
      </c>
      <c r="C58" s="49">
        <f>COUNTIF(Data!BF2:BF61,"x")</f>
        <v>12</v>
      </c>
      <c r="D58" s="34" t="str">
        <f>IF(Data!A20="","—",Data!A20)</f>
        <v>ELCA South-Central Synod</v>
      </c>
      <c r="E58" s="55" t="str">
        <f>IF(Data!B20="","—",Data!B20)</f>
        <v>Bishop Joy Mortensen-Weibe</v>
      </c>
      <c r="F58" s="34" t="str">
        <f>IF(Data!A2="","—",Data!A2)</f>
        <v>African Methodist Episcopal Church, 4th District</v>
      </c>
      <c r="G58" s="55" t="str">
        <f>IF(Data!B2="","—",Data!B2)</f>
        <v>Presiding Elder James Miller</v>
      </c>
      <c r="H58" s="34" t="str">
        <f>IF(Data!A3="","—",Data!A3)</f>
        <v>American Baptist Churches of Wisconsin</v>
      </c>
      <c r="I58" s="55" t="str">
        <f>IF(Data!B3="","—",Data!B3)</f>
        <v>Rev. Mindi Welton-Mitchell</v>
      </c>
    </row>
    <row r="59" spans="2:9" ht="21.75" customHeight="1">
      <c r="B59" s="41" t="s">
        <v>57</v>
      </c>
      <c r="C59" s="53">
        <f>COUNTIF(Data!BG2:BG61,"x")</f>
        <v>6</v>
      </c>
      <c r="D59" s="29" t="str">
        <f>IF(Data!A19="","—",Data!A19)</f>
        <v>ELCA Northwest Synod</v>
      </c>
      <c r="E59" s="54" t="str">
        <f>IF(Data!B19="","—",Data!B19)</f>
        <v>Bishop Martin Halom</v>
      </c>
      <c r="F59" s="29" t="str">
        <f>IF(Data!A29="","—",Data!A29)</f>
        <v>PC(USA), Northern Waters Presbytery</v>
      </c>
      <c r="G59" s="54" t="str">
        <f>IF(Data!B29="","—",Data!B29)</f>
        <v>Rev. Richard Blood</v>
      </c>
      <c r="H59" s="29" t="str">
        <f>IF(Data!A38="","—",Data!A38)</f>
        <v>UMC - WI, North East District</v>
      </c>
      <c r="I59" s="54" t="str">
        <f>IF(Data!B38="","—",Data!B38)</f>
        <v>Rev. M. Park Hunter</v>
      </c>
    </row>
    <row r="60" spans="2:9" ht="21.75" customHeight="1">
      <c r="B60" s="45" t="s">
        <v>58</v>
      </c>
      <c r="C60" s="49">
        <f>COUNTIF(Data!BH2:BH61,"x")</f>
        <v>10</v>
      </c>
      <c r="D60" s="34" t="str">
        <f>IF(Data!A20="","—",Data!A20)</f>
        <v>ELCA South-Central Synod</v>
      </c>
      <c r="E60" s="55" t="str">
        <f>IF(Data!B20="","—",Data!B20)</f>
        <v>Bishop Joy Mortensen-Weibe</v>
      </c>
      <c r="F60" s="34" t="str">
        <f>IF(Data!A2="","—",Data!A2)</f>
        <v>African Methodist Episcopal Church, 4th District</v>
      </c>
      <c r="G60" s="55" t="str">
        <f>IF(Data!B2="","—",Data!B2)</f>
        <v>Presiding Elder James Miller</v>
      </c>
      <c r="H60" s="34" t="str">
        <f>IF(Data!A3="","—",Data!A3)</f>
        <v>American Baptist Churches of Wisconsin</v>
      </c>
      <c r="I60" s="55" t="str">
        <f>IF(Data!B3="","—",Data!B3)</f>
        <v>Rev. Mindi Welton-Mitchell</v>
      </c>
    </row>
    <row r="61" spans="2:9" ht="21.75" customHeight="1">
      <c r="B61" s="41" t="s">
        <v>59</v>
      </c>
      <c r="C61" s="53">
        <f>COUNTIF(Data!BI2:BI61,"x")</f>
        <v>5</v>
      </c>
      <c r="D61" s="29" t="str">
        <f>IF(Data!A29="","—",Data!A29)</f>
        <v>PC(USA), Northern Waters Presbytery</v>
      </c>
      <c r="E61" s="54" t="str">
        <f>IF(Data!B29="","—",Data!B29)</f>
        <v>Rev. Richard Blood</v>
      </c>
      <c r="F61" s="29" t="str">
        <f>IF(Data!A38="","—",Data!A38)</f>
        <v>UMC - WI, North East District</v>
      </c>
      <c r="G61" s="54" t="str">
        <f>IF(Data!B38="","—",Data!B38)</f>
        <v>Rev. M. Park Hunter</v>
      </c>
      <c r="H61" s="29" t="str">
        <f>IF(Data!A36="","—",Data!A36)</f>
        <v>UCC-WI, Northern Region</v>
      </c>
      <c r="I61" s="54" t="str">
        <f>IF(Data!B36="","—",Data!B36)</f>
        <v>vacant</v>
      </c>
    </row>
    <row r="62" spans="2:9" ht="21.75" customHeight="1">
      <c r="B62" s="45" t="s">
        <v>60</v>
      </c>
      <c r="C62" s="53">
        <f>COUNTIF(Data!BJ2:BJ61,"x")</f>
        <v>5</v>
      </c>
      <c r="D62" s="34" t="str">
        <f>IF(Data!A15="","—",Data!A15)</f>
        <v>ELCA East-Central Synod</v>
      </c>
      <c r="E62" s="55" t="str">
        <f>IF(Data!B15="","—",Data!B15)</f>
        <v>Bishop Anne Edison Albright</v>
      </c>
      <c r="F62" s="34" t="str">
        <f>IF(Data!A32="","—",Data!A32)</f>
        <v>Roman Catholic Diocese of Green Bay</v>
      </c>
      <c r="G62" s="55" t="str">
        <f>IF(Data!B32="","—",Data!B32)</f>
        <v>Bishop Ricken</v>
      </c>
      <c r="H62" s="34" t="str">
        <f>IF(Data!A30="","—",Data!A30)</f>
        <v>PC(USA), Winnebago Presbytery</v>
      </c>
      <c r="I62" s="55" t="str">
        <f>IF(Data!B30="","—",Data!B30)</f>
        <v>Rev. Dave Colby</v>
      </c>
    </row>
    <row r="63" spans="2:9" ht="21.75" customHeight="1">
      <c r="B63" s="41" t="s">
        <v>61</v>
      </c>
      <c r="C63" s="48">
        <f>COUNTIF(Data!BK2:BK61,"x")</f>
        <v>9</v>
      </c>
      <c r="D63" s="29" t="str">
        <f>IF(Data!A16="","—",Data!A16)</f>
        <v>ELCA Greater Milwaukee Synod</v>
      </c>
      <c r="E63" s="54" t="str">
        <f>IF(Data!B16="","—",Data!B16)</f>
        <v>Bishop Paul Erickson</v>
      </c>
      <c r="F63" s="29" t="str">
        <f>IF(Data!A31="","—",Data!A31)</f>
        <v>Roman Catholic Archdiocese of Milwaukee</v>
      </c>
      <c r="G63" s="54" t="str">
        <f>IF(Data!B31="","—",Data!B31)</f>
        <v>Archbishop Grob</v>
      </c>
      <c r="H63" s="29" t="str">
        <f>IF(Data!A2="","—",Data!A2)</f>
        <v>African Methodist Episcopal Church, 4th District</v>
      </c>
      <c r="I63" s="54" t="str">
        <f>IF(Data!B2="","—",Data!B2)</f>
        <v>Presiding Elder James Miller</v>
      </c>
    </row>
    <row r="64" spans="2:9" ht="21.75" customHeight="1">
      <c r="B64" s="45" t="s">
        <v>62</v>
      </c>
      <c r="C64" s="53">
        <f>COUNTIF(Data!BL2:BL61,"x")</f>
        <v>6</v>
      </c>
      <c r="D64" s="34" t="str">
        <f>IF(Data!A19="","—",Data!A19)</f>
        <v>ELCA Northwest Synod</v>
      </c>
      <c r="E64" s="55" t="str">
        <f>IF(Data!B19="","—",Data!B19)</f>
        <v>Bishop Martin Halom</v>
      </c>
      <c r="F64" s="34" t="str">
        <f>IF(Data!A29="","—",Data!A29)</f>
        <v>PC(USA), Northern Waters Presbytery</v>
      </c>
      <c r="G64" s="55" t="str">
        <f>IF(Data!B29="","—",Data!B29)</f>
        <v>Rev. Richard Blood</v>
      </c>
      <c r="H64" s="34" t="str">
        <f>IF(Data!A38="","—",Data!A38)</f>
        <v>UMC - WI, North East District</v>
      </c>
      <c r="I64" s="55" t="str">
        <f>IF(Data!B38="","—",Data!B38)</f>
        <v>Rev. M. Park Hunter</v>
      </c>
    </row>
    <row r="65" spans="2:9" ht="21.75" customHeight="1">
      <c r="B65" s="41" t="s">
        <v>63</v>
      </c>
      <c r="C65" s="53">
        <f>COUNTIF(Data!BM2:BM61,"x")</f>
        <v>6</v>
      </c>
      <c r="D65" s="29" t="str">
        <f>IF(Data!A19="","—",Data!A19)</f>
        <v>ELCA Northwest Synod</v>
      </c>
      <c r="E65" s="54" t="str">
        <f>IF(Data!B19="","—",Data!B19)</f>
        <v>Bishop Martin Halom</v>
      </c>
      <c r="F65" s="29" t="str">
        <f>IF(Data!A29="","—",Data!A29)</f>
        <v>PC(USA), Northern Waters Presbytery</v>
      </c>
      <c r="G65" s="54" t="str">
        <f>IF(Data!B29="","—",Data!B29)</f>
        <v>Rev. Richard Blood</v>
      </c>
      <c r="H65" s="29" t="str">
        <f>IF(Data!A38="","—",Data!A38)</f>
        <v>UMC - WI, North East District</v>
      </c>
      <c r="I65" s="54" t="str">
        <f>IF(Data!B38="","—",Data!B38)</f>
        <v>Rev. M. Park Hunter</v>
      </c>
    </row>
    <row r="66" spans="2:9" ht="21.75" customHeight="1">
      <c r="B66" s="45" t="s">
        <v>64</v>
      </c>
      <c r="C66" s="48">
        <f>COUNTIF(Data!BN2:BN61,"x")</f>
        <v>8</v>
      </c>
      <c r="D66" s="34" t="str">
        <f>IF(Data!A17="","—",Data!A17)</f>
        <v>ELCA LaCrosse Area Synod</v>
      </c>
      <c r="E66" s="55" t="str">
        <f>IF(Data!B17="","—",Data!B17)</f>
        <v>Bishop Felix Malpica</v>
      </c>
      <c r="F66" s="34" t="str">
        <f>IF(Data!A19="","—",Data!A19)</f>
        <v>ELCA Northwest Synod</v>
      </c>
      <c r="G66" s="55" t="str">
        <f>IF(Data!B19="","—",Data!B19)</f>
        <v>Bishop Martin Halom</v>
      </c>
      <c r="H66" s="34" t="str">
        <f>IF(Data!A33="","—",Data!A33)</f>
        <v>Roman Catholic Diocese of LaCrosse</v>
      </c>
      <c r="I66" s="55" t="str">
        <f>IF(Data!B33="","—",Data!B33)</f>
        <v>Bishop Battersby</v>
      </c>
    </row>
    <row r="67" spans="2:9" ht="21.75" customHeight="1">
      <c r="B67" s="41" t="s">
        <v>65</v>
      </c>
      <c r="C67" s="53">
        <f>COUNTIF(Data!BO2:BO61,"x")</f>
        <v>6</v>
      </c>
      <c r="D67" s="29" t="str">
        <f>IF(Data!A17="","—",Data!A17)</f>
        <v>ELCA LaCrosse Area Synod</v>
      </c>
      <c r="E67" s="54" t="str">
        <f>IF(Data!B17="","—",Data!B17)</f>
        <v>Bishop Felix Malpica</v>
      </c>
      <c r="F67" s="29" t="str">
        <f>IF(Data!A33="","—",Data!A33)</f>
        <v>Roman Catholic Diocese of LaCrosse</v>
      </c>
      <c r="G67" s="54" t="str">
        <f>IF(Data!B33="","—",Data!B33)</f>
        <v>Bishop Battersby</v>
      </c>
      <c r="H67" s="29" t="str">
        <f>IF(Data!A27="","—",Data!A27)</f>
        <v>PC(USA), John Knox Presbytery</v>
      </c>
      <c r="I67" s="54" t="str">
        <f>IF(Data!B27="","—",Data!B27)</f>
        <v>Rev. Devon Reynolds</v>
      </c>
    </row>
    <row r="68" spans="2:9" ht="21.75" customHeight="1">
      <c r="B68" s="45" t="s">
        <v>66</v>
      </c>
      <c r="C68" s="53">
        <f>COUNTIF(Data!BP2:BP61,"x")</f>
        <v>3</v>
      </c>
      <c r="D68" s="34" t="str">
        <f>IF(Data!A29="","—",Data!A29)</f>
        <v>PC(USA), Northern Waters Presbytery</v>
      </c>
      <c r="E68" s="55" t="str">
        <f>IF(Data!B29="","—",Data!B29)</f>
        <v>Rev. Richard Blood</v>
      </c>
      <c r="F68" s="34" t="str">
        <f>IF(Data!A36="","—",Data!A36)</f>
        <v>UCC-WI, Northern Region</v>
      </c>
      <c r="G68" s="55" t="str">
        <f>IF(Data!B36="","—",Data!B36)</f>
        <v>vacant</v>
      </c>
      <c r="H68" s="56" t="s">
        <v>240</v>
      </c>
      <c r="I68" s="56" t="s">
        <v>240</v>
      </c>
    </row>
    <row r="69" spans="2:9" ht="21.75" customHeight="1">
      <c r="B69" s="41" t="s">
        <v>67</v>
      </c>
      <c r="C69" s="49">
        <f>COUNTIF(Data!BQ2:BQ61,"x")</f>
        <v>11</v>
      </c>
      <c r="D69" s="29" t="str">
        <f>IF(Data!A20="","—",Data!A20)</f>
        <v>ELCA South-Central Synod</v>
      </c>
      <c r="E69" s="54" t="str">
        <f>IF(Data!B20="","—",Data!B20)</f>
        <v>Bishop Joy Mortensen-Weibe</v>
      </c>
      <c r="F69" s="29" t="str">
        <f>IF(Data!A31="","—",Data!A31)</f>
        <v>Roman Catholic Archdiocese of Milwaukee</v>
      </c>
      <c r="G69" s="54" t="str">
        <f>IF(Data!B31="","—",Data!B31)</f>
        <v>Archbishop Grob</v>
      </c>
      <c r="H69" s="29" t="str">
        <f>IF(Data!A2="","—",Data!A2)</f>
        <v>African Methodist Episcopal Church, 4th District</v>
      </c>
      <c r="I69" s="54" t="str">
        <f>IF(Data!B2="","—",Data!B2)</f>
        <v>Presiding Elder James Miller</v>
      </c>
    </row>
    <row r="70" spans="2:9" ht="21.75" customHeight="1">
      <c r="B70" s="45" t="s">
        <v>68</v>
      </c>
      <c r="C70" s="53">
        <f>COUNTIF(Data!BR2:BR61,"x")</f>
        <v>5</v>
      </c>
      <c r="D70" s="34" t="str">
        <f>IF(Data!A29="","—",Data!A29)</f>
        <v>PC(USA), Northern Waters Presbytery</v>
      </c>
      <c r="E70" s="55" t="str">
        <f>IF(Data!B29="","—",Data!B29)</f>
        <v>Rev. Richard Blood</v>
      </c>
      <c r="F70" s="34" t="str">
        <f>IF(Data!A38="","—",Data!A38)</f>
        <v>UMC - WI, North East District</v>
      </c>
      <c r="G70" s="55" t="str">
        <f>IF(Data!B38="","—",Data!B38)</f>
        <v>Rev. M. Park Hunter</v>
      </c>
      <c r="H70" s="34" t="str">
        <f>IF(Data!A36="","—",Data!A36)</f>
        <v>UCC-WI, Northern Region</v>
      </c>
      <c r="I70" s="55" t="str">
        <f>IF(Data!B36="","—",Data!B36)</f>
        <v>vacant</v>
      </c>
    </row>
    <row r="71" spans="2:9" ht="21.75" customHeight="1">
      <c r="B71" s="41" t="s">
        <v>69</v>
      </c>
      <c r="C71" s="49">
        <f>COUNTIF(Data!BS2:BS61,"x")</f>
        <v>14</v>
      </c>
      <c r="D71" s="29" t="str">
        <f>IF(Data!A19="","—",Data!A19)</f>
        <v>ELCA Northwest Synod</v>
      </c>
      <c r="E71" s="54" t="str">
        <f>IF(Data!B19="","—",Data!B19)</f>
        <v>Bishop Martin Halom</v>
      </c>
      <c r="F71" s="29" t="str">
        <f>IF(Data!A31="","—",Data!A31)</f>
        <v>Roman Catholic Archdiocese of Milwaukee</v>
      </c>
      <c r="G71" s="54" t="str">
        <f>IF(Data!B31="","—",Data!B31)</f>
        <v>Archbishop Grob</v>
      </c>
      <c r="H71" s="29" t="str">
        <f>IF(Data!A2="","—",Data!A2)</f>
        <v>African Methodist Episcopal Church, 4th District</v>
      </c>
      <c r="I71" s="54" t="str">
        <f>IF(Data!B2="","—",Data!B2)</f>
        <v>Presiding Elder James Miller</v>
      </c>
    </row>
    <row r="72" spans="2:9" ht="21.75" customHeight="1">
      <c r="B72" s="45" t="s">
        <v>70</v>
      </c>
      <c r="C72" s="48">
        <f>COUNTIF(Data!BT2:BT61,"x")</f>
        <v>7</v>
      </c>
      <c r="D72" s="34" t="str">
        <f>IF(Data!A16="","—",Data!A16)</f>
        <v>ELCA Greater Milwaukee Synod</v>
      </c>
      <c r="E72" s="55" t="str">
        <f>IF(Data!B16="","—",Data!B16)</f>
        <v>Bishop Paul Erickson</v>
      </c>
      <c r="F72" s="34" t="str">
        <f>IF(Data!A31="","—",Data!A31)</f>
        <v>Roman Catholic Archdiocese of Milwaukee</v>
      </c>
      <c r="G72" s="55" t="str">
        <f>IF(Data!B31="","—",Data!B31)</f>
        <v>Archbishop Grob</v>
      </c>
      <c r="H72" s="34" t="str">
        <f>IF(Data!A28="","—",Data!A28)</f>
        <v>PC(USA), Milwaukee Presbytery</v>
      </c>
      <c r="I72" s="55" t="str">
        <f>IF(Data!B28="","—",Data!B28)</f>
        <v>Rev. Christian Boyd, Ann Gibbs</v>
      </c>
    </row>
    <row r="73" spans="2:9" ht="21.75" customHeight="1">
      <c r="B73" s="41" t="s">
        <v>71</v>
      </c>
      <c r="C73" s="53">
        <f>COUNTIF(Data!BU2:BU61,"x")</f>
        <v>5</v>
      </c>
      <c r="D73" s="29" t="str">
        <f>IF(Data!A15="","—",Data!A15)</f>
        <v>ELCA East-Central Synod</v>
      </c>
      <c r="E73" s="54" t="str">
        <f>IF(Data!B15="","—",Data!B15)</f>
        <v>Bishop Anne Edison Albright</v>
      </c>
      <c r="F73" s="29" t="str">
        <f>IF(Data!A32="","—",Data!A32)</f>
        <v>Roman Catholic Diocese of Green Bay</v>
      </c>
      <c r="G73" s="54" t="str">
        <f>IF(Data!B32="","—",Data!B32)</f>
        <v>Bishop Ricken</v>
      </c>
      <c r="H73" s="29" t="str">
        <f>IF(Data!A30="","—",Data!A30)</f>
        <v>PC(USA), Winnebago Presbytery</v>
      </c>
      <c r="I73" s="54" t="str">
        <f>IF(Data!B30="","—",Data!B30)</f>
        <v>Rev. Dave Colby</v>
      </c>
    </row>
    <row r="74" spans="2:9" ht="21.75" customHeight="1">
      <c r="B74" s="45" t="s">
        <v>72</v>
      </c>
      <c r="C74" s="53">
        <f>COUNTIF(Data!BV2:BV61,"x")</f>
        <v>6</v>
      </c>
      <c r="D74" s="34" t="str">
        <f>IF(Data!A15="","—",Data!A15)</f>
        <v>ELCA East-Central Synod</v>
      </c>
      <c r="E74" s="55" t="str">
        <f>IF(Data!B15="","—",Data!B15)</f>
        <v>Bishop Anne Edison Albright</v>
      </c>
      <c r="F74" s="34" t="str">
        <f>IF(Data!A32="","—",Data!A32)</f>
        <v>Roman Catholic Diocese of Green Bay</v>
      </c>
      <c r="G74" s="55" t="str">
        <f>IF(Data!B32="","—",Data!B32)</f>
        <v>Bishop Ricken</v>
      </c>
      <c r="H74" s="34" t="str">
        <f>IF(Data!A30="","—",Data!A30)</f>
        <v>PC(USA), Winnebago Presbytery</v>
      </c>
      <c r="I74" s="55" t="str">
        <f>IF(Data!B30="","—",Data!B30)</f>
        <v>Rev. Dave Colby</v>
      </c>
    </row>
    <row r="75" spans="2:9" ht="21.75" customHeight="1">
      <c r="B75" s="41" t="s">
        <v>73</v>
      </c>
      <c r="C75" s="53">
        <f>COUNTIF(Data!BW2:BW61,"x")</f>
        <v>6</v>
      </c>
      <c r="D75" s="29" t="str">
        <f>IF(Data!A15="","—",Data!A15)</f>
        <v>ELCA East-Central Synod</v>
      </c>
      <c r="E75" s="54" t="str">
        <f>IF(Data!B15="","—",Data!B15)</f>
        <v>Bishop Anne Edison Albright</v>
      </c>
      <c r="F75" s="29" t="str">
        <f>IF(Data!A32="","—",Data!A32)</f>
        <v>Roman Catholic Diocese of Green Bay</v>
      </c>
      <c r="G75" s="54" t="str">
        <f>IF(Data!B32="","—",Data!B32)</f>
        <v>Bishop Ricken</v>
      </c>
      <c r="H75" s="29" t="str">
        <f>IF(Data!A14="","—",Data!A14)</f>
        <v>Ecumenical Catholic Communion</v>
      </c>
      <c r="I75" s="54" t="str">
        <f>IF(Data!B14="","—",Data!B14)</f>
        <v>Rev. Mimi Maki</v>
      </c>
    </row>
    <row r="76" spans="2:9" ht="21.75" customHeight="1">
      <c r="B76" s="45" t="s">
        <v>74</v>
      </c>
      <c r="C76" s="53">
        <f>COUNTIF(Data!BX2:BX61,"x")</f>
        <v>6</v>
      </c>
      <c r="D76" s="34" t="str">
        <f>IF(Data!A15="","—",Data!A15)</f>
        <v>ELCA East-Central Synod</v>
      </c>
      <c r="E76" s="55" t="str">
        <f>IF(Data!B15="","—",Data!B15)</f>
        <v>Bishop Anne Edison Albright</v>
      </c>
      <c r="F76" s="34" t="str">
        <f>IF(Data!A19="","—",Data!A19)</f>
        <v>ELCA Northwest Synod</v>
      </c>
      <c r="G76" s="55" t="str">
        <f>IF(Data!B19="","—",Data!B19)</f>
        <v>Bishop Martin Halom</v>
      </c>
      <c r="H76" s="34" t="str">
        <f>IF(Data!A33="","—",Data!A33)</f>
        <v>Roman Catholic Diocese of LaCrosse</v>
      </c>
      <c r="I76" s="55" t="str">
        <f>IF(Data!B33="","—",Data!B33)</f>
        <v>Bishop Battersby</v>
      </c>
    </row>
    <row r="77" spans="2:9" ht="15.75" customHeight="1"/>
    <row r="78" spans="2:9" ht="15.75" customHeight="1"/>
    <row r="79" spans="2:9" ht="15.75" customHeight="1"/>
    <row r="80" spans="2:9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I2"/>
  </mergeCells>
  <pageMargins left="0.75" right="0.75" top="1" bottom="1" header="0" footer="0"/>
  <pageSetup paperSize="9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0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4.41015625" defaultRowHeight="15" customHeight="1"/>
  <cols>
    <col min="1" max="1" width="2" customWidth="1"/>
    <col min="2" max="2" width="55.87890625" customWidth="1"/>
    <col min="3" max="3" width="30" customWidth="1"/>
    <col min="4" max="4" width="10" customWidth="1"/>
    <col min="5" max="5" width="12" customWidth="1"/>
    <col min="6" max="6" width="59.703125" customWidth="1"/>
    <col min="7" max="26" width="8.703125" customWidth="1"/>
  </cols>
  <sheetData>
    <row r="1" spans="2:6" ht="6" customHeight="1"/>
    <row r="2" spans="2:6" ht="45" customHeight="1">
      <c r="B2" s="112" t="s">
        <v>241</v>
      </c>
      <c r="C2" s="101"/>
      <c r="D2" s="101"/>
      <c r="E2" s="101"/>
      <c r="F2" s="98"/>
    </row>
    <row r="3" spans="2:6" ht="6" customHeight="1"/>
    <row r="4" spans="2:6" ht="24" customHeight="1">
      <c r="B4" s="57" t="s">
        <v>242</v>
      </c>
      <c r="C4" s="57" t="s">
        <v>243</v>
      </c>
      <c r="D4" s="57" t="s">
        <v>225</v>
      </c>
      <c r="E4" s="57" t="s">
        <v>244</v>
      </c>
      <c r="F4" s="57" t="s">
        <v>245</v>
      </c>
    </row>
    <row r="5" spans="2:6" ht="19.5" customHeight="1">
      <c r="B5" s="58" t="str">
        <f>IF(Data!A2&lt;&gt;"",Data!A2,"")</f>
        <v>African Methodist Episcopal Church, 4th District</v>
      </c>
      <c r="C5" s="59" t="str">
        <f>IF(Data!A2&lt;&gt;"",Data!B2,"")</f>
        <v>Presiding Elder James Miller</v>
      </c>
      <c r="D5" s="27" t="str">
        <f>IF(Data!A2&lt;&gt;"",Data!C2,"")</f>
        <v>ALL</v>
      </c>
      <c r="E5" s="27">
        <f>IF(Data!A2&lt;&gt;"",Data!D2,"")</f>
        <v>19</v>
      </c>
      <c r="F5" s="29" t="s">
        <v>246</v>
      </c>
    </row>
    <row r="6" spans="2:6" ht="19.5" customHeight="1">
      <c r="B6" s="60" t="str">
        <f>IF(Data!A3&lt;&gt;"",Data!A3,"")</f>
        <v>American Baptist Churches of Wisconsin</v>
      </c>
      <c r="C6" s="61" t="str">
        <f>IF(Data!A3&lt;&gt;"",Data!B3,"")</f>
        <v>Rev. Mindi Welton-Mitchell</v>
      </c>
      <c r="D6" s="32" t="str">
        <f>IF(Data!A3&lt;&gt;"",Data!C3,"")</f>
        <v>ALL</v>
      </c>
      <c r="E6" s="32">
        <f>IF(Data!A3&lt;&gt;"",Data!D3,"")</f>
        <v>19</v>
      </c>
      <c r="F6" s="34" t="s">
        <v>246</v>
      </c>
    </row>
    <row r="7" spans="2:6" ht="19.5" customHeight="1">
      <c r="B7" s="58" t="str">
        <f>IF(Data!A4&lt;&gt;"",Data!A4,"")</f>
        <v>Armenian Orthodox Church, Eastern Diocese</v>
      </c>
      <c r="C7" s="59" t="str">
        <f>IF(Data!A4&lt;&gt;"",Data!B4,"")</f>
        <v>Father Yeprem Kelegian</v>
      </c>
      <c r="D7" s="27" t="str">
        <f>IF(Data!A4&lt;&gt;"",Data!C4,"")</f>
        <v>ALL</v>
      </c>
      <c r="E7" s="27">
        <f>IF(Data!A4&lt;&gt;"",Data!D4,"")</f>
        <v>3</v>
      </c>
      <c r="F7" s="29" t="s">
        <v>247</v>
      </c>
    </row>
    <row r="8" spans="2:6" ht="19.5" customHeight="1">
      <c r="B8" s="60" t="str">
        <f>IF(Data!A5&lt;&gt;"",Data!A5,"")</f>
        <v>Christian Church (Disciples of Christ) in Illinois and Wisconsin</v>
      </c>
      <c r="C8" s="61" t="str">
        <f>IF(Data!A5&lt;&gt;"",Data!B5,"")</f>
        <v>Rev. Eli Rolon-Jeong</v>
      </c>
      <c r="D8" s="32" t="str">
        <f>IF(Data!A5&lt;&gt;"",Data!C5,"")</f>
        <v>ALL</v>
      </c>
      <c r="E8" s="32">
        <f>IF(Data!A5&lt;&gt;"",Data!D5,"")</f>
        <v>1</v>
      </c>
      <c r="F8" s="34" t="s">
        <v>43</v>
      </c>
    </row>
    <row r="9" spans="2:6" ht="19.5" customHeight="1">
      <c r="B9" s="58" t="str">
        <f>IF(Data!A6&lt;&gt;"",Data!A6,"")</f>
        <v>Christian Methodist Episcopal Church, Third Episcopal District</v>
      </c>
      <c r="C9" s="59" t="str">
        <f>IF(Data!A6&lt;&gt;"",Data!B6,"")</f>
        <v>Elder Tiggs Washington</v>
      </c>
      <c r="D9" s="27" t="str">
        <f>IF(Data!A6&lt;&gt;"",Data!C6,"")</f>
        <v>ALL</v>
      </c>
      <c r="E9" s="27">
        <f>IF(Data!A6&lt;&gt;"",Data!D6,"")</f>
        <v>2</v>
      </c>
      <c r="F9" s="29" t="s">
        <v>248</v>
      </c>
    </row>
    <row r="10" spans="2:6" ht="19.5" customHeight="1">
      <c r="B10" s="60" t="str">
        <f>IF(Data!A7&lt;&gt;"",Data!A7,"")</f>
        <v>Church of Jesus Christ of Latter-Day Saints</v>
      </c>
      <c r="C10" s="61" t="str">
        <f>IF(Data!A7&lt;&gt;"",Data!B7,"")</f>
        <v>Mr. Brett Seamons</v>
      </c>
      <c r="D10" s="32" t="str">
        <f>IF(Data!A7&lt;&gt;"",Data!C7,"")</f>
        <v>ALL</v>
      </c>
      <c r="E10" s="32">
        <f>IF(Data!A7&lt;&gt;"",Data!D7,"")</f>
        <v>0</v>
      </c>
      <c r="F10" s="34" t="s">
        <v>249</v>
      </c>
    </row>
    <row r="11" spans="2:6" ht="19.5" customHeight="1">
      <c r="B11" s="58" t="str">
        <f>IF(Data!A8&lt;&gt;"",Data!A8,"")</f>
        <v>Church of the Brethren, Illinois and Wisconsin District</v>
      </c>
      <c r="C11" s="59" t="str">
        <f>IF(Data!A8&lt;&gt;"",Data!B8,"")</f>
        <v>Rev. Walt Wiltshek</v>
      </c>
      <c r="D11" s="27" t="str">
        <f>IF(Data!A8&lt;&gt;"",Data!C8,"")</f>
        <v>ALL</v>
      </c>
      <c r="E11" s="27">
        <f>IF(Data!A8&lt;&gt;"",Data!D8,"")</f>
        <v>1</v>
      </c>
      <c r="F11" s="29" t="s">
        <v>15</v>
      </c>
    </row>
    <row r="12" spans="2:6" ht="19.5" customHeight="1">
      <c r="B12" s="60" t="str">
        <f>IF(Data!A9&lt;&gt;"",Data!A9,"")</f>
        <v>COGIC, Wisconsin First Jurisdiction</v>
      </c>
      <c r="C12" s="61" t="str">
        <f>IF(Data!A9&lt;&gt;"",Data!B9,"")</f>
        <v>Bishop Darrell Hines, Sr.</v>
      </c>
      <c r="D12" s="32" t="str">
        <f>IF(Data!A9&lt;&gt;"",Data!C9,"")</f>
        <v>PR</v>
      </c>
      <c r="E12" s="32">
        <f>IF(Data!A9&lt;&gt;"",Data!D9,"")</f>
        <v>3</v>
      </c>
      <c r="F12" s="34" t="s">
        <v>250</v>
      </c>
    </row>
    <row r="13" spans="2:6" ht="19.5" customHeight="1">
      <c r="B13" s="58" t="str">
        <f>IF(Data!A10&lt;&gt;"",Data!A10,"")</f>
        <v>COGIC, Wisconsin Northwest Jurisdiction</v>
      </c>
      <c r="C13" s="59" t="str">
        <f>IF(Data!A10&lt;&gt;"",Data!B10,"")</f>
        <v>Bishop CH McClelland</v>
      </c>
      <c r="D13" s="27" t="str">
        <f>IF(Data!A10&lt;&gt;"",Data!C10,"")</f>
        <v>PR</v>
      </c>
      <c r="E13" s="27">
        <f>IF(Data!A10&lt;&gt;"",Data!D10,"")</f>
        <v>1</v>
      </c>
      <c r="F13" s="29" t="s">
        <v>43</v>
      </c>
    </row>
    <row r="14" spans="2:6" ht="19.5" customHeight="1">
      <c r="B14" s="60" t="str">
        <f>IF(Data!A11&lt;&gt;"",Data!A11,"")</f>
        <v>COGIC, Wisconsin Third Jurisdiction</v>
      </c>
      <c r="C14" s="61" t="str">
        <f>IF(Data!A11&lt;&gt;"",Data!B11,"")</f>
        <v>incomplete</v>
      </c>
      <c r="D14" s="32" t="str">
        <f>IF(Data!A11&lt;&gt;"",Data!C11,"")</f>
        <v>PR</v>
      </c>
      <c r="E14" s="32">
        <f>IF(Data!A11&lt;&gt;"",Data!D11,"")</f>
        <v>0</v>
      </c>
      <c r="F14" s="34" t="s">
        <v>249</v>
      </c>
    </row>
    <row r="15" spans="2:6" ht="19.5" customHeight="1">
      <c r="B15" s="58" t="str">
        <f>IF(Data!A12&lt;&gt;"",Data!A12,"")</f>
        <v>Community of Christ Headwaters Mission Center</v>
      </c>
      <c r="C15" s="59" t="str">
        <f>IF(Data!A12&lt;&gt;"",Data!B12,"")</f>
        <v>Mr. Matt Davisdon</v>
      </c>
      <c r="D15" s="27" t="str">
        <f>IF(Data!A12&lt;&gt;"",Data!C12,"")</f>
        <v>—</v>
      </c>
      <c r="E15" s="27">
        <f>IF(Data!A12&lt;&gt;"",Data!D12,"")</f>
        <v>6</v>
      </c>
      <c r="F15" s="29" t="s">
        <v>251</v>
      </c>
    </row>
    <row r="16" spans="2:6" ht="19.5" customHeight="1">
      <c r="B16" s="60" t="str">
        <f>IF(Data!A13&lt;&gt;"",Data!A13,"")</f>
        <v>Coptic Orthodox Church</v>
      </c>
      <c r="C16" s="61" t="str">
        <f>IF(Data!A13&lt;&gt;"",Data!B13,"")</f>
        <v>Fr. Gergis (msn)/ Fr. Awadalla (mke)</v>
      </c>
      <c r="D16" s="32" t="str">
        <f>IF(Data!A13&lt;&gt;"",Data!C13,"")</f>
        <v>ALL</v>
      </c>
      <c r="E16" s="32">
        <f>IF(Data!A13&lt;&gt;"",Data!D13,"")</f>
        <v>2</v>
      </c>
      <c r="F16" s="34" t="s">
        <v>252</v>
      </c>
    </row>
    <row r="17" spans="2:6" ht="19.5" customHeight="1">
      <c r="B17" s="58" t="str">
        <f>IF(Data!A14&lt;&gt;"",Data!A14,"")</f>
        <v>Ecumenical Catholic Communion</v>
      </c>
      <c r="C17" s="59" t="str">
        <f>IF(Data!A14&lt;&gt;"",Data!B14,"")</f>
        <v>Rev. Mimi Maki</v>
      </c>
      <c r="D17" s="27" t="str">
        <f>IF(Data!A14&lt;&gt;"",Data!C14,"")</f>
        <v>—</v>
      </c>
      <c r="E17" s="27">
        <f>IF(Data!A14&lt;&gt;"",Data!D14,"")</f>
        <v>1</v>
      </c>
      <c r="F17" s="29" t="s">
        <v>73</v>
      </c>
    </row>
    <row r="18" spans="2:6" ht="19.5" customHeight="1">
      <c r="B18" s="60" t="str">
        <f>IF(Data!A15&lt;&gt;"",Data!A15,"")</f>
        <v>ELCA East-Central Synod</v>
      </c>
      <c r="C18" s="61" t="str">
        <f>IF(Data!A15&lt;&gt;"",Data!B15,"")</f>
        <v>Bishop Anne Edison Albright</v>
      </c>
      <c r="D18" s="32" t="str">
        <f>IF(Data!A15&lt;&gt;"",Data!C15,"")</f>
        <v>—</v>
      </c>
      <c r="E18" s="32">
        <f>IF(Data!A15&lt;&gt;"",Data!D15,"")</f>
        <v>19</v>
      </c>
      <c r="F18" s="34" t="s">
        <v>253</v>
      </c>
    </row>
    <row r="19" spans="2:6" ht="19.5" customHeight="1">
      <c r="B19" s="58" t="str">
        <f>IF(Data!A16&lt;&gt;"",Data!A16,"")</f>
        <v>ELCA Greater Milwaukee Synod</v>
      </c>
      <c r="C19" s="59" t="str">
        <f>IF(Data!A16&lt;&gt;"",Data!B16,"")</f>
        <v>Bishop Paul Erickson</v>
      </c>
      <c r="D19" s="27" t="str">
        <f>IF(Data!A16&lt;&gt;"",Data!C16,"")</f>
        <v>—</v>
      </c>
      <c r="E19" s="27">
        <f>IF(Data!A16&lt;&gt;"",Data!D16,"")</f>
        <v>8</v>
      </c>
      <c r="F19" s="29" t="s">
        <v>254</v>
      </c>
    </row>
    <row r="20" spans="2:6" ht="19.5" customHeight="1">
      <c r="B20" s="60" t="str">
        <f>IF(Data!A17&lt;&gt;"",Data!A17,"")</f>
        <v>ELCA LaCrosse Area Synod</v>
      </c>
      <c r="C20" s="61" t="str">
        <f>IF(Data!A17&lt;&gt;"",Data!B17,"")</f>
        <v>Bishop Felix Malpica</v>
      </c>
      <c r="D20" s="32" t="str">
        <f>IF(Data!A17&lt;&gt;"",Data!C17,"")</f>
        <v>—</v>
      </c>
      <c r="E20" s="32">
        <f>IF(Data!A17&lt;&gt;"",Data!D17,"")</f>
        <v>7</v>
      </c>
      <c r="F20" s="34" t="s">
        <v>255</v>
      </c>
    </row>
    <row r="21" spans="2:6" ht="19.5" customHeight="1">
      <c r="B21" s="58" t="str">
        <f>IF(Data!A18&lt;&gt;"",Data!A18,"")</f>
        <v>ELCA Northern Great Lakes Synod</v>
      </c>
      <c r="C21" s="59" t="str">
        <f>IF(Data!A18&lt;&gt;"",Data!B18,"")</f>
        <v>Bishop Katherine Finegan</v>
      </c>
      <c r="D21" s="27" t="str">
        <f>IF(Data!A18&lt;&gt;"",Data!C18,"")</f>
        <v>—</v>
      </c>
      <c r="E21" s="27">
        <f>IF(Data!A18&lt;&gt;"",Data!D18,"")</f>
        <v>0</v>
      </c>
      <c r="F21" s="29" t="s">
        <v>249</v>
      </c>
    </row>
    <row r="22" spans="2:6" ht="19.5" customHeight="1">
      <c r="B22" s="60" t="str">
        <f>IF(Data!A19&lt;&gt;"",Data!A19,"")</f>
        <v>ELCA Northwest Synod</v>
      </c>
      <c r="C22" s="61" t="str">
        <f>IF(Data!A19&lt;&gt;"",Data!B19,"")</f>
        <v>Bishop Martin Halom</v>
      </c>
      <c r="D22" s="32" t="str">
        <f>IF(Data!A19&lt;&gt;"",Data!C19,"")</f>
        <v>—</v>
      </c>
      <c r="E22" s="32">
        <f>IF(Data!A19&lt;&gt;"",Data!D19,"")</f>
        <v>19</v>
      </c>
      <c r="F22" s="34" t="s">
        <v>256</v>
      </c>
    </row>
    <row r="23" spans="2:6" ht="19.5" customHeight="1">
      <c r="B23" s="58" t="str">
        <f>IF(Data!A20&lt;&gt;"",Data!A20,"")</f>
        <v>ELCA South-Central Synod</v>
      </c>
      <c r="C23" s="59" t="str">
        <f>IF(Data!A20&lt;&gt;"",Data!B20,"")</f>
        <v>Bishop Joy Mortensen-Weibe</v>
      </c>
      <c r="D23" s="27" t="str">
        <f>IF(Data!A20&lt;&gt;"",Data!C20,"")</f>
        <v>—</v>
      </c>
      <c r="E23" s="27">
        <f>IF(Data!A20&lt;&gt;"",Data!D20,"")</f>
        <v>12</v>
      </c>
      <c r="F23" s="29" t="s">
        <v>257</v>
      </c>
    </row>
    <row r="24" spans="2:6" ht="19.5" customHeight="1">
      <c r="B24" s="60" t="str">
        <f>IF(Data!A21&lt;&gt;"",Data!A21,"")</f>
        <v>Greek Orthodox Church, Diocese of Chicago</v>
      </c>
      <c r="C24" s="61" t="str">
        <f>IF(Data!A21&lt;&gt;"",Data!B21,"")</f>
        <v>Father Cyprian Sas</v>
      </c>
      <c r="D24" s="32" t="str">
        <f>IF(Data!A21&lt;&gt;"",Data!C21,"")</f>
        <v>—</v>
      </c>
      <c r="E24" s="32">
        <f>IF(Data!A21&lt;&gt;"",Data!D21,"")</f>
        <v>18</v>
      </c>
      <c r="F24" s="34" t="s">
        <v>258</v>
      </c>
    </row>
    <row r="25" spans="2:6" ht="19.5" customHeight="1">
      <c r="B25" s="58" t="str">
        <f>IF(Data!A22&lt;&gt;"",Data!A22,"")</f>
        <v>Life Center Madison</v>
      </c>
      <c r="C25" s="59" t="str">
        <f>IF(Data!A22&lt;&gt;"",Data!B22,"")</f>
        <v>Sr. Leader Adam Clausen</v>
      </c>
      <c r="D25" s="27" t="str">
        <f>IF(Data!A22&lt;&gt;"",Data!C22,"")</f>
        <v>—</v>
      </c>
      <c r="E25" s="27">
        <f>IF(Data!A22&lt;&gt;"",Data!D22,"")</f>
        <v>1</v>
      </c>
      <c r="F25" s="29" t="s">
        <v>15</v>
      </c>
    </row>
    <row r="26" spans="2:6" ht="19.5" customHeight="1">
      <c r="B26" s="60" t="str">
        <f>IF(Data!A23&lt;&gt;"",Data!A23,"")</f>
        <v>Mennonite Church USA, Central District Conference</v>
      </c>
      <c r="C26" s="61" t="str">
        <f>IF(Data!A23&lt;&gt;"",Data!B23,"")</f>
        <v>Rev. Valerie Showalter at MMC</v>
      </c>
      <c r="D26" s="32" t="str">
        <f>IF(Data!A23&lt;&gt;"",Data!C23,"")</f>
        <v>—</v>
      </c>
      <c r="E26" s="32">
        <f>IF(Data!A23&lt;&gt;"",Data!D23,"")</f>
        <v>2</v>
      </c>
      <c r="F26" s="34" t="s">
        <v>246</v>
      </c>
    </row>
    <row r="27" spans="2:6" ht="19.5" customHeight="1">
      <c r="B27" s="58" t="str">
        <f>IF(Data!A24&lt;&gt;"",Data!A24,"")</f>
        <v>Metropolitan Community Churches</v>
      </c>
      <c r="C27" s="59" t="str">
        <f>IF(Data!A24&lt;&gt;"",Data!B24,"")</f>
        <v>Lay Led</v>
      </c>
      <c r="D27" s="27" t="str">
        <f>IF(Data!A24&lt;&gt;"",Data!C24,"")</f>
        <v>ALL</v>
      </c>
      <c r="E27" s="27">
        <f>IF(Data!A24&lt;&gt;"",Data!D24,"")</f>
        <v>4</v>
      </c>
      <c r="F27" s="29" t="s">
        <v>259</v>
      </c>
    </row>
    <row r="28" spans="2:6" ht="19.5" customHeight="1">
      <c r="B28" s="60" t="str">
        <f>IF(Data!A25&lt;&gt;"",Data!A25,"")</f>
        <v>Moravian Church, Western District</v>
      </c>
      <c r="C28" s="61" t="str">
        <f>IF(Data!A25&lt;&gt;"",Data!B25,"")</f>
        <v>Jason Andersen</v>
      </c>
      <c r="D28" s="32" t="str">
        <f>IF(Data!A25&lt;&gt;"",Data!C25,"")</f>
        <v>ALL</v>
      </c>
      <c r="E28" s="32">
        <f>IF(Data!A25&lt;&gt;"",Data!D25,"")</f>
        <v>19</v>
      </c>
      <c r="F28" s="34" t="s">
        <v>246</v>
      </c>
    </row>
    <row r="29" spans="2:6" ht="19.5" customHeight="1">
      <c r="B29" s="58" t="str">
        <f>IF(Data!A26&lt;&gt;"",Data!A26,"")</f>
        <v>Orthodox Church in America, Diocese of the Midwest</v>
      </c>
      <c r="C29" s="59" t="str">
        <f>IF(Data!A26&lt;&gt;"",Data!B26,"")</f>
        <v>Fr. Elijah Mueller</v>
      </c>
      <c r="D29" s="27" t="str">
        <f>IF(Data!A26&lt;&gt;"",Data!C26,"")</f>
        <v>ALL</v>
      </c>
      <c r="E29" s="27">
        <f>IF(Data!A26&lt;&gt;"",Data!D26,"")</f>
        <v>19</v>
      </c>
      <c r="F29" s="29" t="s">
        <v>246</v>
      </c>
    </row>
    <row r="30" spans="2:6" ht="19.5" customHeight="1">
      <c r="B30" s="60" t="str">
        <f>IF(Data!A27&lt;&gt;"",Data!A27,"")</f>
        <v>PC(USA), John Knox Presbytery</v>
      </c>
      <c r="C30" s="61" t="str">
        <f>IF(Data!A27&lt;&gt;"",Data!B27,"")</f>
        <v>Rev. Devon Reynolds</v>
      </c>
      <c r="D30" s="32" t="str">
        <f>IF(Data!A27&lt;&gt;"",Data!C27,"")</f>
        <v>—</v>
      </c>
      <c r="E30" s="32">
        <f>IF(Data!A27&lt;&gt;"",Data!D27,"")</f>
        <v>18</v>
      </c>
      <c r="F30" s="34" t="s">
        <v>260</v>
      </c>
    </row>
    <row r="31" spans="2:6" ht="19.5" customHeight="1">
      <c r="B31" s="58" t="str">
        <f>IF(Data!A28&lt;&gt;"",Data!A28,"")</f>
        <v>PC(USA), Milwaukee Presbytery</v>
      </c>
      <c r="C31" s="59" t="str">
        <f>IF(Data!A28&lt;&gt;"",Data!B28,"")</f>
        <v>Rev. Christian Boyd, Ann Gibbs</v>
      </c>
      <c r="D31" s="27" t="str">
        <f>IF(Data!A28&lt;&gt;"",Data!C28,"")</f>
        <v>—</v>
      </c>
      <c r="E31" s="27">
        <f>IF(Data!A28&lt;&gt;"",Data!D28,"")</f>
        <v>11</v>
      </c>
      <c r="F31" s="29" t="s">
        <v>261</v>
      </c>
    </row>
    <row r="32" spans="2:6" ht="19.5" customHeight="1">
      <c r="B32" s="60" t="str">
        <f>IF(Data!A29&lt;&gt;"",Data!A29,"")</f>
        <v>PC(USA), Northern Waters Presbytery</v>
      </c>
      <c r="C32" s="61" t="str">
        <f>IF(Data!A29&lt;&gt;"",Data!B29,"")</f>
        <v>Rev. Richard Blood</v>
      </c>
      <c r="D32" s="32" t="str">
        <f>IF(Data!A29&lt;&gt;"",Data!C29,"")</f>
        <v>—</v>
      </c>
      <c r="E32" s="32">
        <f>IF(Data!A29&lt;&gt;"",Data!D29,"")</f>
        <v>20</v>
      </c>
      <c r="F32" s="34" t="s">
        <v>262</v>
      </c>
    </row>
    <row r="33" spans="2:6" ht="19.5" customHeight="1">
      <c r="B33" s="58" t="str">
        <f>IF(Data!A30&lt;&gt;"",Data!A30,"")</f>
        <v>PC(USA), Winnebago Presbytery</v>
      </c>
      <c r="C33" s="59" t="str">
        <f>IF(Data!A30&lt;&gt;"",Data!B30,"")</f>
        <v>Rev. Dave Colby</v>
      </c>
      <c r="D33" s="27" t="str">
        <f>IF(Data!A30&lt;&gt;"",Data!C30,"")</f>
        <v>—</v>
      </c>
      <c r="E33" s="27">
        <f>IF(Data!A30&lt;&gt;"",Data!D30,"")</f>
        <v>23</v>
      </c>
      <c r="F33" s="29" t="s">
        <v>263</v>
      </c>
    </row>
    <row r="34" spans="2:6" ht="19.5" customHeight="1">
      <c r="B34" s="60" t="str">
        <f>IF(Data!A31&lt;&gt;"",Data!A31,"")</f>
        <v>Roman Catholic Archdiocese of Milwaukee</v>
      </c>
      <c r="C34" s="61" t="str">
        <f>IF(Data!A31&lt;&gt;"",Data!B31,"")</f>
        <v>Archbishop Grob</v>
      </c>
      <c r="D34" s="32" t="str">
        <f>IF(Data!A31&lt;&gt;"",Data!C31,"")</f>
        <v>—</v>
      </c>
      <c r="E34" s="32">
        <f>IF(Data!A31&lt;&gt;"",Data!D31,"")</f>
        <v>10</v>
      </c>
      <c r="F34" s="34" t="s">
        <v>264</v>
      </c>
    </row>
    <row r="35" spans="2:6" ht="19.5" customHeight="1">
      <c r="B35" s="58" t="str">
        <f>IF(Data!A32&lt;&gt;"",Data!A32,"")</f>
        <v>Roman Catholic Diocese of Green Bay</v>
      </c>
      <c r="C35" s="59" t="str">
        <f>IF(Data!A32&lt;&gt;"",Data!B32,"")</f>
        <v>Bishop Ricken</v>
      </c>
      <c r="D35" s="27" t="str">
        <f>IF(Data!A32&lt;&gt;"",Data!C32,"")</f>
        <v>—</v>
      </c>
      <c r="E35" s="27">
        <f>IF(Data!A32&lt;&gt;"",Data!D32,"")</f>
        <v>16</v>
      </c>
      <c r="F35" s="29" t="s">
        <v>265</v>
      </c>
    </row>
    <row r="36" spans="2:6" ht="19.5" customHeight="1">
      <c r="B36" s="60" t="str">
        <f>IF(Data!A33&lt;&gt;"",Data!A33,"")</f>
        <v>Roman Catholic Diocese of LaCrosse</v>
      </c>
      <c r="C36" s="61" t="str">
        <f>IF(Data!A33&lt;&gt;"",Data!B33,"")</f>
        <v>Bishop Battersby</v>
      </c>
      <c r="D36" s="32" t="str">
        <f>IF(Data!A33&lt;&gt;"",Data!C33,"")</f>
        <v>—</v>
      </c>
      <c r="E36" s="32">
        <f>IF(Data!A33&lt;&gt;"",Data!D33,"")</f>
        <v>19</v>
      </c>
      <c r="F36" s="34" t="s">
        <v>266</v>
      </c>
    </row>
    <row r="37" spans="2:6" ht="19.5" customHeight="1">
      <c r="B37" s="58" t="str">
        <f>IF(Data!A34&lt;&gt;"",Data!A34,"")</f>
        <v>The Episcopal Diocese of Wisconsin</v>
      </c>
      <c r="C37" s="59" t="str">
        <f>IF(Data!A34&lt;&gt;"",Data!B34,"")</f>
        <v>Bishop Matthew Gunter</v>
      </c>
      <c r="D37" s="27" t="str">
        <f>IF(Data!A34&lt;&gt;"",Data!C34,"")</f>
        <v>ALL</v>
      </c>
      <c r="E37" s="27">
        <f>IF(Data!A34&lt;&gt;"",Data!D34,"")</f>
        <v>0</v>
      </c>
      <c r="F37" s="29" t="s">
        <v>249</v>
      </c>
    </row>
    <row r="38" spans="2:6" ht="19.5" customHeight="1">
      <c r="B38" s="60" t="str">
        <f>IF(Data!A35&lt;&gt;"",Data!A35,"")</f>
        <v>UCC-WI, Eastern Region</v>
      </c>
      <c r="C38" s="61" t="str">
        <f>IF(Data!A35&lt;&gt;"",Data!B35,"")</f>
        <v>Rev. Jane Anderson</v>
      </c>
      <c r="D38" s="32" t="str">
        <f>IF(Data!A35&lt;&gt;"",Data!C35,"")</f>
        <v>—</v>
      </c>
      <c r="E38" s="32">
        <f>IF(Data!A35&lt;&gt;"",Data!D35,"")</f>
        <v>21</v>
      </c>
      <c r="F38" s="34" t="s">
        <v>267</v>
      </c>
    </row>
    <row r="39" spans="2:6" ht="19.5" customHeight="1">
      <c r="B39" s="58" t="str">
        <f>IF(Data!A36&lt;&gt;"",Data!A36,"")</f>
        <v>UCC-WI, Northern Region</v>
      </c>
      <c r="C39" s="59" t="str">
        <f>IF(Data!A36&lt;&gt;"",Data!B36,"")</f>
        <v>vacant</v>
      </c>
      <c r="D39" s="27" t="str">
        <f>IF(Data!A36&lt;&gt;"",Data!C36,"")</f>
        <v>—</v>
      </c>
      <c r="E39" s="27">
        <f>IF(Data!A36&lt;&gt;"",Data!D36,"")</f>
        <v>34</v>
      </c>
      <c r="F39" s="29" t="s">
        <v>268</v>
      </c>
    </row>
    <row r="40" spans="2:6" ht="19.5" customHeight="1">
      <c r="B40" s="60" t="str">
        <f>IF(Data!A37&lt;&gt;"",Data!A37,"")</f>
        <v>UCC-WI, Southern Region</v>
      </c>
      <c r="C40" s="61" t="str">
        <f>IF(Data!A37&lt;&gt;"",Data!B37,"")</f>
        <v>Rev. Rachel Bauman</v>
      </c>
      <c r="D40" s="32" t="str">
        <f>IF(Data!A37&lt;&gt;"",Data!C37,"")</f>
        <v>—</v>
      </c>
      <c r="E40" s="32">
        <f>IF(Data!A37&lt;&gt;"",Data!D37,"")</f>
        <v>21</v>
      </c>
      <c r="F40" s="34" t="s">
        <v>269</v>
      </c>
    </row>
    <row r="41" spans="2:6" ht="19.5" customHeight="1">
      <c r="B41" s="58" t="str">
        <f>IF(Data!A38&lt;&gt;"",Data!A38,"")</f>
        <v>UMC - WI, North East District</v>
      </c>
      <c r="C41" s="59" t="str">
        <f>IF(Data!A38&lt;&gt;"",Data!B38,"")</f>
        <v>Rev. M. Park Hunter</v>
      </c>
      <c r="D41" s="27" t="str">
        <f>IF(Data!A38&lt;&gt;"",Data!C38,"")</f>
        <v>—</v>
      </c>
      <c r="E41" s="27">
        <f>IF(Data!A38&lt;&gt;"",Data!D38,"")</f>
        <v>23</v>
      </c>
      <c r="F41" s="29" t="s">
        <v>270</v>
      </c>
    </row>
    <row r="42" spans="2:6" ht="19.5" customHeight="1">
      <c r="B42" s="60" t="str">
        <f>IF(Data!A39&lt;&gt;"",Data!A39,"")</f>
        <v>UMC - WI, North West District</v>
      </c>
      <c r="C42" s="61" t="str">
        <f>IF(Data!A39&lt;&gt;"",Data!B39,"")</f>
        <v>Rev. PyungAhn "Peace" Kim</v>
      </c>
      <c r="D42" s="32" t="str">
        <f>IF(Data!A39&lt;&gt;"",Data!C39,"")</f>
        <v>—</v>
      </c>
      <c r="E42" s="32">
        <f>IF(Data!A39&lt;&gt;"",Data!D39,"")</f>
        <v>23</v>
      </c>
      <c r="F42" s="34" t="s">
        <v>270</v>
      </c>
    </row>
    <row r="43" spans="2:6" ht="19.5" customHeight="1">
      <c r="B43" s="58" t="str">
        <f>IF(Data!A40&lt;&gt;"",Data!A40,"")</f>
        <v>UMC - WI, South East District</v>
      </c>
      <c r="C43" s="59" t="str">
        <f>IF(Data!A40&lt;&gt;"",Data!B40,"")</f>
        <v>Rev. Amanda Stein</v>
      </c>
      <c r="D43" s="27" t="str">
        <f>IF(Data!A40&lt;&gt;"",Data!C40,"")</f>
        <v>—</v>
      </c>
      <c r="E43" s="27">
        <f>IF(Data!A40&lt;&gt;"",Data!D40,"")</f>
        <v>11</v>
      </c>
      <c r="F43" s="29" t="s">
        <v>271</v>
      </c>
    </row>
    <row r="44" spans="2:6" ht="19.5" customHeight="1">
      <c r="B44" s="60" t="str">
        <f>IF(Data!A41&lt;&gt;"",Data!A41,"")</f>
        <v>UMC - WI, South West District</v>
      </c>
      <c r="C44" s="61" t="str">
        <f>IF(Data!A41&lt;&gt;"",Data!B41,"")</f>
        <v>Rev. In Sun Lee</v>
      </c>
      <c r="D44" s="32" t="str">
        <f>IF(Data!A41&lt;&gt;"",Data!C41,"")</f>
        <v>—</v>
      </c>
      <c r="E44" s="32">
        <f>IF(Data!A41&lt;&gt;"",Data!D41,"")</f>
        <v>15</v>
      </c>
      <c r="F44" s="34" t="s">
        <v>272</v>
      </c>
    </row>
    <row r="45" spans="2:6" ht="19.5" customHeight="1">
      <c r="B45" s="58" t="str">
        <f>IF(Data!A42&lt;&gt;"",Data!A42,"")</f>
        <v>UMC- Boo</v>
      </c>
      <c r="C45" s="59" t="str">
        <f>IF(Data!A42&lt;&gt;"",Data!B42,"")</f>
        <v>Dada</v>
      </c>
      <c r="D45" s="27">
        <f>IF(Data!A42&lt;&gt;"",Data!C42,"")</f>
        <v>0</v>
      </c>
      <c r="E45" s="27">
        <f>IF(Data!A42&lt;&gt;"",Data!D42,"")</f>
        <v>72</v>
      </c>
      <c r="F45" s="29" t="str">
        <f>IF(Data!A42="","","See DATA tab for county details")</f>
        <v>See DATA tab for county details</v>
      </c>
    </row>
    <row r="46" spans="2:6" ht="19.5" customHeight="1">
      <c r="B46" s="60" t="str">
        <f>IF(Data!A43&lt;&gt;"",Data!A43,"")</f>
        <v/>
      </c>
      <c r="C46" s="61" t="str">
        <f>IF(Data!A43&lt;&gt;"",Data!B43,"")</f>
        <v/>
      </c>
      <c r="D46" s="32" t="str">
        <f>IF(Data!A43&lt;&gt;"",Data!C43,"")</f>
        <v/>
      </c>
      <c r="E46" s="32" t="str">
        <f>IF(Data!A43&lt;&gt;"",Data!D43,"")</f>
        <v/>
      </c>
      <c r="F46" s="34" t="str">
        <f>IF(Data!A43="","","See DATA tab for county details")</f>
        <v/>
      </c>
    </row>
    <row r="47" spans="2:6" ht="19.5" customHeight="1">
      <c r="B47" s="58" t="str">
        <f>IF(Data!A44&lt;&gt;"",Data!A44,"")</f>
        <v/>
      </c>
      <c r="C47" s="59" t="str">
        <f>IF(Data!A44&lt;&gt;"",Data!B44,"")</f>
        <v/>
      </c>
      <c r="D47" s="27" t="str">
        <f>IF(Data!A44&lt;&gt;"",Data!C44,"")</f>
        <v/>
      </c>
      <c r="E47" s="27" t="str">
        <f>IF(Data!A44&lt;&gt;"",Data!D44,"")</f>
        <v/>
      </c>
      <c r="F47" s="29" t="str">
        <f>IF(Data!A44="","","See DATA tab for county details")</f>
        <v/>
      </c>
    </row>
    <row r="48" spans="2:6" ht="19.5" customHeight="1">
      <c r="B48" s="60" t="str">
        <f>IF(Data!A45&lt;&gt;"",Data!A45,"")</f>
        <v/>
      </c>
      <c r="C48" s="61" t="str">
        <f>IF(Data!A45&lt;&gt;"",Data!B45,"")</f>
        <v/>
      </c>
      <c r="D48" s="32" t="str">
        <f>IF(Data!A45&lt;&gt;"",Data!C45,"")</f>
        <v/>
      </c>
      <c r="E48" s="32" t="str">
        <f>IF(Data!A45&lt;&gt;"",Data!D45,"")</f>
        <v/>
      </c>
      <c r="F48" s="34" t="str">
        <f>IF(Data!A45="","","See DATA tab for county details")</f>
        <v/>
      </c>
    </row>
    <row r="49" spans="2:6" ht="19.5" customHeight="1">
      <c r="B49" s="58" t="str">
        <f>IF(Data!A46&lt;&gt;"",Data!A46,"")</f>
        <v/>
      </c>
      <c r="C49" s="59" t="str">
        <f>IF(Data!A46&lt;&gt;"",Data!B46,"")</f>
        <v/>
      </c>
      <c r="D49" s="27" t="str">
        <f>IF(Data!A46&lt;&gt;"",Data!C46,"")</f>
        <v/>
      </c>
      <c r="E49" s="27" t="str">
        <f>IF(Data!A46&lt;&gt;"",Data!D46,"")</f>
        <v/>
      </c>
      <c r="F49" s="29" t="str">
        <f>IF(Data!A46="","","See DATA tab for county details")</f>
        <v/>
      </c>
    </row>
    <row r="50" spans="2:6" ht="19.5" customHeight="1">
      <c r="B50" s="60" t="str">
        <f>IF(Data!A47&lt;&gt;"",Data!A47,"")</f>
        <v/>
      </c>
      <c r="C50" s="61" t="str">
        <f>IF(Data!A47&lt;&gt;"",Data!B47,"")</f>
        <v/>
      </c>
      <c r="D50" s="32" t="str">
        <f>IF(Data!A47&lt;&gt;"",Data!C47,"")</f>
        <v/>
      </c>
      <c r="E50" s="32" t="str">
        <f>IF(Data!A47&lt;&gt;"",Data!D47,"")</f>
        <v/>
      </c>
      <c r="F50" s="34" t="str">
        <f>IF(Data!A47="","","See DATA tab for county details")</f>
        <v/>
      </c>
    </row>
    <row r="51" spans="2:6" ht="19.5" customHeight="1">
      <c r="B51" s="58" t="str">
        <f>IF(Data!A48&lt;&gt;"",Data!A48,"")</f>
        <v/>
      </c>
      <c r="C51" s="59" t="str">
        <f>IF(Data!A48&lt;&gt;"",Data!B48,"")</f>
        <v/>
      </c>
      <c r="D51" s="27" t="str">
        <f>IF(Data!A48&lt;&gt;"",Data!C48,"")</f>
        <v/>
      </c>
      <c r="E51" s="27" t="str">
        <f>IF(Data!A48&lt;&gt;"",Data!D48,"")</f>
        <v/>
      </c>
      <c r="F51" s="29" t="str">
        <f>IF(Data!A48="","","See DATA tab for county details")</f>
        <v/>
      </c>
    </row>
    <row r="52" spans="2:6" ht="19.5" customHeight="1">
      <c r="B52" s="60" t="str">
        <f>IF(Data!A49&lt;&gt;"",Data!A49,"")</f>
        <v/>
      </c>
      <c r="C52" s="61" t="str">
        <f>IF(Data!A49&lt;&gt;"",Data!B49,"")</f>
        <v/>
      </c>
      <c r="D52" s="32" t="str">
        <f>IF(Data!A49&lt;&gt;"",Data!C49,"")</f>
        <v/>
      </c>
      <c r="E52" s="32" t="str">
        <f>IF(Data!A49&lt;&gt;"",Data!D49,"")</f>
        <v/>
      </c>
      <c r="F52" s="34" t="str">
        <f>IF(Data!A49="","","See DATA tab for county details")</f>
        <v/>
      </c>
    </row>
    <row r="53" spans="2:6" ht="19.5" customHeight="1">
      <c r="B53" s="58" t="str">
        <f>IF(Data!A50&lt;&gt;"",Data!A50,"")</f>
        <v/>
      </c>
      <c r="C53" s="59" t="str">
        <f>IF(Data!A50&lt;&gt;"",Data!B50,"")</f>
        <v/>
      </c>
      <c r="D53" s="27" t="str">
        <f>IF(Data!A50&lt;&gt;"",Data!C50,"")</f>
        <v/>
      </c>
      <c r="E53" s="27" t="str">
        <f>IF(Data!A50&lt;&gt;"",Data!D50,"")</f>
        <v/>
      </c>
      <c r="F53" s="29" t="str">
        <f>IF(Data!A50="","","See DATA tab for county details")</f>
        <v/>
      </c>
    </row>
    <row r="54" spans="2:6" ht="19.5" customHeight="1">
      <c r="B54" s="60" t="str">
        <f>IF(Data!A51&lt;&gt;"",Data!A51,"")</f>
        <v/>
      </c>
      <c r="C54" s="61" t="str">
        <f>IF(Data!A51&lt;&gt;"",Data!B51,"")</f>
        <v/>
      </c>
      <c r="D54" s="32" t="str">
        <f>IF(Data!A51&lt;&gt;"",Data!C51,"")</f>
        <v/>
      </c>
      <c r="E54" s="32" t="str">
        <f>IF(Data!A51&lt;&gt;"",Data!D51,"")</f>
        <v/>
      </c>
      <c r="F54" s="34" t="str">
        <f>IF(Data!A51="","","See DATA tab for county details")</f>
        <v/>
      </c>
    </row>
    <row r="55" spans="2:6" ht="19.5" customHeight="1">
      <c r="B55" s="58" t="str">
        <f>IF(Data!A52&lt;&gt;"",Data!A52,"")</f>
        <v/>
      </c>
      <c r="C55" s="59" t="str">
        <f>IF(Data!A52&lt;&gt;"",Data!B52,"")</f>
        <v/>
      </c>
      <c r="D55" s="27" t="str">
        <f>IF(Data!A52&lt;&gt;"",Data!C52,"")</f>
        <v/>
      </c>
      <c r="E55" s="27" t="str">
        <f>IF(Data!A52&lt;&gt;"",Data!D52,"")</f>
        <v/>
      </c>
      <c r="F55" s="29" t="str">
        <f>IF(Data!A52="","","See DATA tab for county details")</f>
        <v/>
      </c>
    </row>
    <row r="56" spans="2:6" ht="19.5" customHeight="1">
      <c r="B56" s="60" t="str">
        <f>IF(Data!A53&lt;&gt;"",Data!A53,"")</f>
        <v/>
      </c>
      <c r="C56" s="61" t="str">
        <f>IF(Data!A53&lt;&gt;"",Data!B53,"")</f>
        <v/>
      </c>
      <c r="D56" s="32" t="str">
        <f>IF(Data!A53&lt;&gt;"",Data!C53,"")</f>
        <v/>
      </c>
      <c r="E56" s="32" t="str">
        <f>IF(Data!A53&lt;&gt;"",Data!D53,"")</f>
        <v/>
      </c>
      <c r="F56" s="34" t="str">
        <f>IF(Data!A53="","","See DATA tab for county details")</f>
        <v/>
      </c>
    </row>
    <row r="57" spans="2:6" ht="19.5" customHeight="1">
      <c r="B57" s="58" t="str">
        <f>IF(Data!A54&lt;&gt;"",Data!A54,"")</f>
        <v/>
      </c>
      <c r="C57" s="59" t="str">
        <f>IF(Data!A54&lt;&gt;"",Data!B54,"")</f>
        <v/>
      </c>
      <c r="D57" s="27" t="str">
        <f>IF(Data!A54&lt;&gt;"",Data!C54,"")</f>
        <v/>
      </c>
      <c r="E57" s="27" t="str">
        <f>IF(Data!A54&lt;&gt;"",Data!D54,"")</f>
        <v/>
      </c>
      <c r="F57" s="29" t="str">
        <f>IF(Data!A54="","","See DATA tab for county details")</f>
        <v/>
      </c>
    </row>
    <row r="58" spans="2:6" ht="19.5" customHeight="1">
      <c r="B58" s="60" t="str">
        <f>IF(Data!A55&lt;&gt;"",Data!A55,"")</f>
        <v/>
      </c>
      <c r="C58" s="61" t="str">
        <f>IF(Data!A55&lt;&gt;"",Data!B55,"")</f>
        <v/>
      </c>
      <c r="D58" s="32" t="str">
        <f>IF(Data!A55&lt;&gt;"",Data!C55,"")</f>
        <v/>
      </c>
      <c r="E58" s="32" t="str">
        <f>IF(Data!A55&lt;&gt;"",Data!D55,"")</f>
        <v/>
      </c>
      <c r="F58" s="34" t="str">
        <f>IF(Data!A55="","","See DATA tab for county details")</f>
        <v/>
      </c>
    </row>
    <row r="59" spans="2:6" ht="19.5" customHeight="1">
      <c r="B59" s="58" t="str">
        <f>IF(Data!A56&lt;&gt;"",Data!A56,"")</f>
        <v/>
      </c>
      <c r="C59" s="59" t="str">
        <f>IF(Data!A56&lt;&gt;"",Data!B56,"")</f>
        <v/>
      </c>
      <c r="D59" s="27" t="str">
        <f>IF(Data!A56&lt;&gt;"",Data!C56,"")</f>
        <v/>
      </c>
      <c r="E59" s="27" t="str">
        <f>IF(Data!A56&lt;&gt;"",Data!D56,"")</f>
        <v/>
      </c>
      <c r="F59" s="29" t="str">
        <f>IF(Data!A56="","","See DATA tab for county details")</f>
        <v/>
      </c>
    </row>
    <row r="60" spans="2:6" ht="19.5" customHeight="1">
      <c r="B60" s="60" t="str">
        <f>IF(Data!A57&lt;&gt;"",Data!A57,"")</f>
        <v/>
      </c>
      <c r="C60" s="61" t="str">
        <f>IF(Data!A57&lt;&gt;"",Data!B57,"")</f>
        <v/>
      </c>
      <c r="D60" s="32" t="str">
        <f>IF(Data!A57&lt;&gt;"",Data!C57,"")</f>
        <v/>
      </c>
      <c r="E60" s="32" t="str">
        <f>IF(Data!A57&lt;&gt;"",Data!D57,"")</f>
        <v/>
      </c>
      <c r="F60" s="34" t="str">
        <f>IF(Data!A57="","","See DATA tab for county details")</f>
        <v/>
      </c>
    </row>
    <row r="61" spans="2:6" ht="19.5" customHeight="1">
      <c r="B61" s="58" t="str">
        <f>IF(Data!A58&lt;&gt;"",Data!A58,"")</f>
        <v/>
      </c>
      <c r="C61" s="59" t="str">
        <f>IF(Data!A58&lt;&gt;"",Data!B58,"")</f>
        <v/>
      </c>
      <c r="D61" s="27" t="str">
        <f>IF(Data!A58&lt;&gt;"",Data!C58,"")</f>
        <v/>
      </c>
      <c r="E61" s="27" t="str">
        <f>IF(Data!A58&lt;&gt;"",Data!D58,"")</f>
        <v/>
      </c>
      <c r="F61" s="29" t="str">
        <f>IF(Data!A58="","","See DATA tab for county details")</f>
        <v/>
      </c>
    </row>
    <row r="62" spans="2:6" ht="19.5" customHeight="1">
      <c r="B62" s="60" t="str">
        <f>IF(Data!A59&lt;&gt;"",Data!A59,"")</f>
        <v/>
      </c>
      <c r="C62" s="61" t="str">
        <f>IF(Data!A59&lt;&gt;"",Data!B59,"")</f>
        <v/>
      </c>
      <c r="D62" s="32" t="str">
        <f>IF(Data!A59&lt;&gt;"",Data!C59,"")</f>
        <v/>
      </c>
      <c r="E62" s="32" t="str">
        <f>IF(Data!A59&lt;&gt;"",Data!D59,"")</f>
        <v/>
      </c>
      <c r="F62" s="34" t="str">
        <f>IF(Data!A59="","","See DATA tab for county details")</f>
        <v/>
      </c>
    </row>
    <row r="63" spans="2:6" ht="19.5" customHeight="1">
      <c r="B63" s="58" t="str">
        <f>IF(Data!A60&lt;&gt;"",Data!A60,"")</f>
        <v/>
      </c>
      <c r="C63" s="59" t="str">
        <f>IF(Data!A60&lt;&gt;"",Data!B60,"")</f>
        <v/>
      </c>
      <c r="D63" s="27" t="str">
        <f>IF(Data!A60&lt;&gt;"",Data!C60,"")</f>
        <v/>
      </c>
      <c r="E63" s="27" t="str">
        <f>IF(Data!A60&lt;&gt;"",Data!D60,"")</f>
        <v/>
      </c>
      <c r="F63" s="29" t="str">
        <f>IF(Data!A60="","","See DATA tab for county details")</f>
        <v/>
      </c>
    </row>
    <row r="64" spans="2:6" ht="19.5" customHeight="1">
      <c r="B64" s="60" t="str">
        <f>IF(Data!A61&lt;&gt;"",Data!A61,"")</f>
        <v/>
      </c>
      <c r="C64" s="61" t="str">
        <f>IF(Data!A61&lt;&gt;"",Data!B61,"")</f>
        <v/>
      </c>
      <c r="D64" s="32" t="str">
        <f>IF(Data!A61&lt;&gt;"",Data!C61,"")</f>
        <v/>
      </c>
      <c r="E64" s="32" t="str">
        <f>IF(Data!A61&lt;&gt;"",Data!D61,"")</f>
        <v/>
      </c>
      <c r="F64" s="34" t="str">
        <f>IF(Data!A61="","","See DATA tab for county details")</f>
        <v/>
      </c>
    </row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F2"/>
  </mergeCells>
  <pageMargins left="0.75" right="0.75" top="1" bottom="1" header="0" footer="0"/>
  <pageSetup paperSize="9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K1000"/>
  <sheetViews>
    <sheetView showGridLines="0" workbookViewId="0"/>
  </sheetViews>
  <sheetFormatPr defaultColWidth="14.41015625" defaultRowHeight="15" customHeight="1"/>
  <cols>
    <col min="1" max="1" width="2" customWidth="1"/>
    <col min="2" max="2" width="40" customWidth="1"/>
    <col min="3" max="3" width="16" customWidth="1"/>
    <col min="4" max="4" width="24" customWidth="1"/>
    <col min="5" max="5" width="16" customWidth="1"/>
    <col min="6" max="26" width="8.703125" customWidth="1"/>
  </cols>
  <sheetData>
    <row r="1" spans="2:11" ht="6" customHeight="1"/>
    <row r="2" spans="2:11" ht="45" customHeight="1">
      <c r="B2" s="114" t="s">
        <v>273</v>
      </c>
      <c r="C2" s="101"/>
      <c r="D2" s="101"/>
      <c r="E2" s="101"/>
      <c r="F2" s="101"/>
      <c r="G2" s="101"/>
      <c r="H2" s="101"/>
      <c r="I2" s="101"/>
      <c r="J2" s="101"/>
      <c r="K2" s="98"/>
    </row>
    <row r="3" spans="2:11" ht="9.75" customHeight="1"/>
    <row r="4" spans="2:11" ht="26.25" customHeight="1">
      <c r="B4" s="115" t="s">
        <v>274</v>
      </c>
      <c r="C4" s="98"/>
    </row>
    <row r="5" spans="2:11" ht="19.5" customHeight="1">
      <c r="B5" s="24" t="s">
        <v>221</v>
      </c>
      <c r="C5" s="24" t="s">
        <v>222</v>
      </c>
    </row>
    <row r="6" spans="2:11" ht="15.75" customHeight="1">
      <c r="B6" s="62" t="s">
        <v>43</v>
      </c>
      <c r="C6" s="63">
        <f>COUNTIF(Data!AS2:AS61,"x")</f>
        <v>20</v>
      </c>
    </row>
    <row r="7" spans="2:11" ht="15.75" customHeight="1">
      <c r="B7" s="64" t="s">
        <v>15</v>
      </c>
      <c r="C7" s="65">
        <f>COUNTIF(Data!Q2:Q61,"x")</f>
        <v>16</v>
      </c>
    </row>
    <row r="8" spans="2:11" ht="15.75" customHeight="1">
      <c r="B8" s="62" t="s">
        <v>25</v>
      </c>
      <c r="C8" s="63">
        <f>COUNTIF(Data!AA2:AA61,"x")</f>
        <v>13</v>
      </c>
    </row>
    <row r="9" spans="2:11" ht="15.75" customHeight="1">
      <c r="B9" s="64" t="s">
        <v>69</v>
      </c>
      <c r="C9" s="65">
        <f>COUNTIF(Data!BS2:BS61,"x")</f>
        <v>14</v>
      </c>
    </row>
    <row r="10" spans="2:11" ht="15.75" customHeight="1">
      <c r="B10" s="62" t="s">
        <v>13</v>
      </c>
      <c r="C10" s="63">
        <f>COUNTIF(Data!P2:P61,"x")</f>
        <v>12</v>
      </c>
    </row>
    <row r="11" spans="2:11" ht="15.75" customHeight="1">
      <c r="B11" s="64" t="s">
        <v>16</v>
      </c>
      <c r="C11" s="65">
        <f>COUNTIF(Data!R2:R61,"x")</f>
        <v>12</v>
      </c>
    </row>
    <row r="12" spans="2:11" ht="15.75" customHeight="1">
      <c r="B12" s="62" t="s">
        <v>54</v>
      </c>
      <c r="C12" s="63">
        <f>COUNTIF(Data!BD2:BD61,"x")</f>
        <v>12</v>
      </c>
    </row>
    <row r="13" spans="2:11" ht="15.75" customHeight="1">
      <c r="B13" s="64" t="s">
        <v>56</v>
      </c>
      <c r="C13" s="65">
        <f>COUNTIF(Data!BF2:BF61,"x")</f>
        <v>12</v>
      </c>
    </row>
    <row r="14" spans="2:11" ht="15.75" customHeight="1">
      <c r="B14" s="62" t="s">
        <v>24</v>
      </c>
      <c r="C14" s="63">
        <f>COUNTIF(Data!Z2:Z61,"x")</f>
        <v>11</v>
      </c>
    </row>
    <row r="15" spans="2:11" ht="15.75" customHeight="1">
      <c r="B15" s="64" t="s">
        <v>32</v>
      </c>
      <c r="C15" s="65">
        <f>COUNTIF(Data!AH2:AH61,"x")</f>
        <v>12</v>
      </c>
    </row>
    <row r="16" spans="2:11" ht="15.75" customHeight="1">
      <c r="B16" s="62" t="s">
        <v>48</v>
      </c>
      <c r="C16" s="63">
        <f>COUNTIF(Data!AX2:AX61,"x")</f>
        <v>11</v>
      </c>
    </row>
    <row r="17" spans="2:3" ht="15.75" customHeight="1">
      <c r="B17" s="64" t="s">
        <v>55</v>
      </c>
      <c r="C17" s="65">
        <f>COUNTIF(Data!BE2:BE61,"x")</f>
        <v>11</v>
      </c>
    </row>
    <row r="18" spans="2:3" ht="15.75" customHeight="1">
      <c r="B18" s="62" t="s">
        <v>67</v>
      </c>
      <c r="C18" s="63">
        <f>COUNTIF(Data!BQ2:BQ61,"x")</f>
        <v>11</v>
      </c>
    </row>
    <row r="19" spans="2:3" ht="15.75" customHeight="1">
      <c r="B19" s="64" t="s">
        <v>14</v>
      </c>
      <c r="C19" s="65">
        <f>COUNTIF(Data!O2:O61,"x")</f>
        <v>10</v>
      </c>
    </row>
    <row r="20" spans="2:3" ht="15.75" customHeight="1">
      <c r="B20" s="62" t="s">
        <v>27</v>
      </c>
      <c r="C20" s="63">
        <f>COUNTIF(Data!AC2:AC61,"x")</f>
        <v>10</v>
      </c>
    </row>
    <row r="21" spans="2:3" ht="15.75" customHeight="1">
      <c r="B21" s="64" t="s">
        <v>182</v>
      </c>
      <c r="C21" s="65">
        <f>COUNTIF(Data!AF2:AF61,"x")</f>
        <v>11</v>
      </c>
    </row>
    <row r="22" spans="2:3" ht="15.75" customHeight="1">
      <c r="B22" s="62" t="s">
        <v>35</v>
      </c>
      <c r="C22" s="63">
        <f>COUNTIF(Data!AK2:AK61,"x")</f>
        <v>10</v>
      </c>
    </row>
    <row r="23" spans="2:3" ht="15.75" customHeight="1">
      <c r="B23" s="64" t="s">
        <v>58</v>
      </c>
      <c r="C23" s="65">
        <f>COUNTIF(Data!BH2:BH61,"x")</f>
        <v>10</v>
      </c>
    </row>
    <row r="24" spans="2:3" ht="15.75" customHeight="1">
      <c r="B24" s="62" t="s">
        <v>61</v>
      </c>
      <c r="C24" s="63">
        <f>COUNTIF(Data!BK2:BK61,"x")</f>
        <v>9</v>
      </c>
    </row>
    <row r="25" spans="2:3" ht="15.75" customHeight="1">
      <c r="B25" s="64" t="s">
        <v>49</v>
      </c>
      <c r="C25" s="65">
        <f>COUNTIF(Data!AY2:AY61,"x")</f>
        <v>8</v>
      </c>
    </row>
    <row r="26" spans="2:3" ht="15.75" customHeight="1"/>
    <row r="27" spans="2:3" ht="26.25" customHeight="1">
      <c r="B27" s="116" t="s">
        <v>275</v>
      </c>
      <c r="C27" s="98"/>
    </row>
    <row r="28" spans="2:3" ht="19.5" customHeight="1">
      <c r="B28" s="66" t="s">
        <v>224</v>
      </c>
      <c r="C28" s="66" t="s">
        <v>244</v>
      </c>
    </row>
    <row r="29" spans="2:3" ht="15.75" customHeight="1">
      <c r="B29" s="29" t="str">
        <f>Data!A36</f>
        <v>UCC-WI, Northern Region</v>
      </c>
      <c r="C29" s="30">
        <f>Data!D36</f>
        <v>34</v>
      </c>
    </row>
    <row r="30" spans="2:3" ht="15.75" customHeight="1">
      <c r="B30" s="34" t="str">
        <f>Data!A30</f>
        <v>PC(USA), Winnebago Presbytery</v>
      </c>
      <c r="C30" s="35">
        <f>Data!D30</f>
        <v>23</v>
      </c>
    </row>
    <row r="31" spans="2:3" ht="15.75" customHeight="1">
      <c r="B31" s="29" t="str">
        <f>Data!A38</f>
        <v>UMC - WI, North East District</v>
      </c>
      <c r="C31" s="30">
        <f>Data!D38</f>
        <v>23</v>
      </c>
    </row>
    <row r="32" spans="2:3" ht="15.75" customHeight="1">
      <c r="B32" s="34" t="str">
        <f>Data!A38</f>
        <v>UMC - WI, North East District</v>
      </c>
      <c r="C32" s="35">
        <f>Data!D38</f>
        <v>23</v>
      </c>
    </row>
    <row r="33" spans="2:3" ht="15.75" customHeight="1">
      <c r="B33" s="29" t="str">
        <f>Data!A35</f>
        <v>UCC-WI, Eastern Region</v>
      </c>
      <c r="C33" s="30">
        <f>Data!D35</f>
        <v>21</v>
      </c>
    </row>
    <row r="34" spans="2:3" ht="15.75" customHeight="1">
      <c r="B34" s="34" t="str">
        <f>Data!A37</f>
        <v>UCC-WI, Southern Region</v>
      </c>
      <c r="C34" s="35">
        <f>Data!D37</f>
        <v>21</v>
      </c>
    </row>
    <row r="35" spans="2:3" ht="15.75" customHeight="1">
      <c r="B35" s="29" t="str">
        <f>Data!A29</f>
        <v>PC(USA), Northern Waters Presbytery</v>
      </c>
      <c r="C35" s="30">
        <f>Data!D29</f>
        <v>20</v>
      </c>
    </row>
    <row r="36" spans="2:3" ht="15.75" customHeight="1">
      <c r="B36" s="34" t="str">
        <f>Data!A2</f>
        <v>African Methodist Episcopal Church, 4th District</v>
      </c>
      <c r="C36" s="35">
        <f>Data!D2</f>
        <v>19</v>
      </c>
    </row>
    <row r="37" spans="2:3" ht="15.75" customHeight="1">
      <c r="B37" s="29" t="str">
        <f>Data!A3</f>
        <v>American Baptist Churches of Wisconsin</v>
      </c>
      <c r="C37" s="30">
        <f>Data!D3</f>
        <v>19</v>
      </c>
    </row>
    <row r="38" spans="2:3" ht="15.75" customHeight="1">
      <c r="B38" s="34" t="str">
        <f>Data!A15</f>
        <v>ELCA East-Central Synod</v>
      </c>
      <c r="C38" s="35">
        <f>Data!D15</f>
        <v>19</v>
      </c>
    </row>
    <row r="39" spans="2:3" ht="15.75" customHeight="1">
      <c r="B39" s="29" t="str">
        <f>Data!A19</f>
        <v>ELCA Northwest Synod</v>
      </c>
      <c r="C39" s="30">
        <f>Data!D19</f>
        <v>19</v>
      </c>
    </row>
    <row r="40" spans="2:3" ht="15.75" customHeight="1">
      <c r="B40" s="34" t="str">
        <f>Data!A23</f>
        <v>Mennonite Church USA, Central District Conference</v>
      </c>
      <c r="C40" s="35">
        <f>Data!D23</f>
        <v>2</v>
      </c>
    </row>
    <row r="41" spans="2:3" ht="15.75" customHeight="1">
      <c r="B41" s="29" t="str">
        <f>Data!A25</f>
        <v>Moravian Church, Western District</v>
      </c>
      <c r="C41" s="30">
        <f>Data!D25</f>
        <v>19</v>
      </c>
    </row>
    <row r="42" spans="2:3" ht="15.75" customHeight="1">
      <c r="B42" s="34" t="str">
        <f>Data!A26</f>
        <v>Orthodox Church in America, Diocese of the Midwest</v>
      </c>
      <c r="C42" s="35">
        <f>Data!D26</f>
        <v>19</v>
      </c>
    </row>
    <row r="43" spans="2:3" ht="15.75" customHeight="1">
      <c r="B43" s="29" t="str">
        <f>Data!A33</f>
        <v>Roman Catholic Diocese of LaCrosse</v>
      </c>
      <c r="C43" s="30">
        <f>Data!D33</f>
        <v>19</v>
      </c>
    </row>
    <row r="44" spans="2:3" ht="15.75" customHeight="1">
      <c r="B44" s="34" t="str">
        <f>Data!A21</f>
        <v>Greek Orthodox Church, Diocese of Chicago</v>
      </c>
      <c r="C44" s="35">
        <f>Data!D21</f>
        <v>18</v>
      </c>
    </row>
    <row r="45" spans="2:3" ht="15.75" customHeight="1">
      <c r="B45" s="29" t="str">
        <f>Data!A27</f>
        <v>PC(USA), John Knox Presbytery</v>
      </c>
      <c r="C45" s="30">
        <f>Data!D27</f>
        <v>18</v>
      </c>
    </row>
    <row r="46" spans="2:3" ht="15.75" customHeight="1">
      <c r="B46" s="34" t="str">
        <f>Data!A32</f>
        <v>Roman Catholic Diocese of Green Bay</v>
      </c>
      <c r="C46" s="35">
        <f>Data!D32</f>
        <v>16</v>
      </c>
    </row>
    <row r="47" spans="2:3" ht="15.75" customHeight="1">
      <c r="B47" s="29" t="str">
        <f>Data!A41</f>
        <v>UMC - WI, South West District</v>
      </c>
      <c r="C47" s="30">
        <f>Data!D41</f>
        <v>15</v>
      </c>
    </row>
    <row r="48" spans="2:3" ht="15.75" customHeight="1">
      <c r="B48" s="34" t="str">
        <f>Data!A20</f>
        <v>ELCA South-Central Synod</v>
      </c>
      <c r="C48" s="35">
        <f>Data!D20</f>
        <v>12</v>
      </c>
    </row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K2"/>
    <mergeCell ref="B4:C4"/>
    <mergeCell ref="B27:C27"/>
  </mergeCells>
  <pageMargins left="0.75" right="0.75" top="1" bottom="1" header="0" footer="0"/>
  <pageSetup paperSize="9" orientation="portrait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F1000"/>
  <sheetViews>
    <sheetView showGridLines="0" workbookViewId="0">
      <pane xSplit="1" ySplit="7" topLeftCell="B8" activePane="bottomRight" state="frozen"/>
      <selection pane="topRight" activeCell="B1" sqref="B1"/>
      <selection pane="bottomLeft" activeCell="A8" sqref="A8"/>
      <selection pane="bottomRight" activeCell="B8" sqref="B8"/>
    </sheetView>
  </sheetViews>
  <sheetFormatPr defaultColWidth="14.41015625" defaultRowHeight="15" customHeight="1"/>
  <cols>
    <col min="1" max="1" width="2" customWidth="1"/>
    <col min="2" max="2" width="40" customWidth="1"/>
    <col min="3" max="3" width="30" customWidth="1"/>
    <col min="4" max="4" width="12" customWidth="1"/>
    <col min="5" max="5" width="14" customWidth="1"/>
    <col min="6" max="26" width="8.703125" customWidth="1"/>
  </cols>
  <sheetData>
    <row r="1" spans="2:5" ht="6" customHeight="1"/>
    <row r="2" spans="2:5" ht="48" customHeight="1">
      <c r="B2" s="117" t="s">
        <v>276</v>
      </c>
      <c r="C2" s="101"/>
      <c r="D2" s="101"/>
      <c r="E2" s="98"/>
    </row>
    <row r="3" spans="2:5" ht="7.5" customHeight="1"/>
    <row r="4" spans="2:5" ht="79.5" customHeight="1">
      <c r="B4" s="118" t="s">
        <v>277</v>
      </c>
      <c r="C4" s="119"/>
      <c r="D4" s="119"/>
      <c r="E4" s="120"/>
    </row>
    <row r="5" spans="2:5" ht="9.75" customHeight="1"/>
    <row r="6" spans="2:5" ht="24" customHeight="1">
      <c r="B6" s="100" t="s">
        <v>278</v>
      </c>
      <c r="C6" s="101"/>
      <c r="D6" s="101"/>
      <c r="E6" s="98"/>
    </row>
    <row r="7" spans="2:5" ht="21.75" customHeight="1">
      <c r="B7" s="57" t="s">
        <v>224</v>
      </c>
      <c r="C7" s="57" t="s">
        <v>0</v>
      </c>
      <c r="D7" s="57" t="s">
        <v>225</v>
      </c>
      <c r="E7" s="57" t="s">
        <v>279</v>
      </c>
    </row>
    <row r="8" spans="2:5" ht="18" customHeight="1">
      <c r="B8" s="67" t="str">
        <f>IF(Data!A2&lt;&gt;"",Data!A2,"")</f>
        <v>African Methodist Episcopal Church, 4th District</v>
      </c>
      <c r="C8" s="29" t="str">
        <f>IF(Data!A2&lt;&gt;"",Data!B2,"")</f>
        <v>Presiding Elder James Miller</v>
      </c>
      <c r="D8" s="30" t="str">
        <f>IF(Data!A2&lt;&gt;"",Data!C2,"")</f>
        <v>ALL</v>
      </c>
      <c r="E8" s="30">
        <f>IF(Data!A2&lt;&gt;"",Data!D2,"")</f>
        <v>19</v>
      </c>
    </row>
    <row r="9" spans="2:5" ht="18" customHeight="1">
      <c r="B9" s="68" t="str">
        <f>IF(Data!A3&lt;&gt;"",Data!A3,"")</f>
        <v>American Baptist Churches of Wisconsin</v>
      </c>
      <c r="C9" s="34" t="str">
        <f>IF(Data!A3&lt;&gt;"",Data!B3,"")</f>
        <v>Rev. Mindi Welton-Mitchell</v>
      </c>
      <c r="D9" s="35" t="str">
        <f>IF(Data!A3&lt;&gt;"",Data!C3,"")</f>
        <v>ALL</v>
      </c>
      <c r="E9" s="35">
        <f>IF(Data!A3&lt;&gt;"",Data!D3,"")</f>
        <v>19</v>
      </c>
    </row>
    <row r="10" spans="2:5" ht="18" customHeight="1">
      <c r="B10" s="67" t="str">
        <f>IF(Data!A4&lt;&gt;"",Data!A4,"")</f>
        <v>Armenian Orthodox Church, Eastern Diocese</v>
      </c>
      <c r="C10" s="29" t="str">
        <f>IF(Data!A4&lt;&gt;"",Data!B4,"")</f>
        <v>Father Yeprem Kelegian</v>
      </c>
      <c r="D10" s="30" t="str">
        <f>IF(Data!A4&lt;&gt;"",Data!C4,"")</f>
        <v>ALL</v>
      </c>
      <c r="E10" s="30">
        <f>IF(Data!A4&lt;&gt;"",Data!D4,"")</f>
        <v>3</v>
      </c>
    </row>
    <row r="11" spans="2:5" ht="18" customHeight="1">
      <c r="B11" s="68" t="str">
        <f>IF(Data!A5&lt;&gt;"",Data!A5,"")</f>
        <v>Christian Church (Disciples of Christ) in Illinois and Wisconsin</v>
      </c>
      <c r="C11" s="34" t="str">
        <f>IF(Data!A5&lt;&gt;"",Data!B5,"")</f>
        <v>Rev. Eli Rolon-Jeong</v>
      </c>
      <c r="D11" s="35" t="str">
        <f>IF(Data!A5&lt;&gt;"",Data!C5,"")</f>
        <v>ALL</v>
      </c>
      <c r="E11" s="35">
        <f>IF(Data!A5&lt;&gt;"",Data!D5,"")</f>
        <v>1</v>
      </c>
    </row>
    <row r="12" spans="2:5" ht="18" customHeight="1">
      <c r="B12" s="67" t="str">
        <f>IF(Data!A6&lt;&gt;"",Data!A6,"")</f>
        <v>Christian Methodist Episcopal Church, Third Episcopal District</v>
      </c>
      <c r="C12" s="29" t="str">
        <f>IF(Data!A6&lt;&gt;"",Data!B6,"")</f>
        <v>Elder Tiggs Washington</v>
      </c>
      <c r="D12" s="30" t="str">
        <f>IF(Data!A6&lt;&gt;"",Data!C6,"")</f>
        <v>ALL</v>
      </c>
      <c r="E12" s="30">
        <f>IF(Data!A6&lt;&gt;"",Data!D6,"")</f>
        <v>2</v>
      </c>
    </row>
    <row r="13" spans="2:5" ht="18" customHeight="1">
      <c r="B13" s="68" t="str">
        <f>IF(Data!A7&lt;&gt;"",Data!A7,"")</f>
        <v>Church of Jesus Christ of Latter-Day Saints</v>
      </c>
      <c r="C13" s="34" t="str">
        <f>IF(Data!A7&lt;&gt;"",Data!B7,"")</f>
        <v>Mr. Brett Seamons</v>
      </c>
      <c r="D13" s="35" t="str">
        <f>IF(Data!A7&lt;&gt;"",Data!C7,"")</f>
        <v>ALL</v>
      </c>
      <c r="E13" s="35">
        <f>IF(Data!A7&lt;&gt;"",Data!D7,"")</f>
        <v>0</v>
      </c>
    </row>
    <row r="14" spans="2:5" ht="18" customHeight="1">
      <c r="B14" s="67" t="str">
        <f>IF(Data!A8&lt;&gt;"",Data!A8,"")</f>
        <v>Church of the Brethren, Illinois and Wisconsin District</v>
      </c>
      <c r="C14" s="29" t="str">
        <f>IF(Data!A8&lt;&gt;"",Data!B8,"")</f>
        <v>Rev. Walt Wiltshek</v>
      </c>
      <c r="D14" s="30" t="str">
        <f>IF(Data!A8&lt;&gt;"",Data!C8,"")</f>
        <v>ALL</v>
      </c>
      <c r="E14" s="30">
        <f>IF(Data!A8&lt;&gt;"",Data!D8,"")</f>
        <v>1</v>
      </c>
    </row>
    <row r="15" spans="2:5" ht="18" customHeight="1">
      <c r="B15" s="68" t="str">
        <f>IF(Data!A9&lt;&gt;"",Data!A9,"")</f>
        <v>COGIC, Wisconsin First Jurisdiction</v>
      </c>
      <c r="C15" s="34" t="str">
        <f>IF(Data!A9&lt;&gt;"",Data!B9,"")</f>
        <v>Bishop Darrell Hines, Sr.</v>
      </c>
      <c r="D15" s="35" t="str">
        <f>IF(Data!A9&lt;&gt;"",Data!C9,"")</f>
        <v>PR</v>
      </c>
      <c r="E15" s="35">
        <f>IF(Data!A9&lt;&gt;"",Data!D9,"")</f>
        <v>3</v>
      </c>
    </row>
    <row r="16" spans="2:5" ht="18" customHeight="1">
      <c r="B16" s="67" t="str">
        <f>IF(Data!A10&lt;&gt;"",Data!A10,"")</f>
        <v>COGIC, Wisconsin Northwest Jurisdiction</v>
      </c>
      <c r="C16" s="29" t="str">
        <f>IF(Data!A10&lt;&gt;"",Data!B10,"")</f>
        <v>Bishop CH McClelland</v>
      </c>
      <c r="D16" s="30" t="str">
        <f>IF(Data!A10&lt;&gt;"",Data!C10,"")</f>
        <v>PR</v>
      </c>
      <c r="E16" s="30">
        <f>IF(Data!A10&lt;&gt;"",Data!D10,"")</f>
        <v>1</v>
      </c>
    </row>
    <row r="17" spans="2:5" ht="18" customHeight="1">
      <c r="B17" s="68" t="str">
        <f>IF(Data!A11&lt;&gt;"",Data!A11,"")</f>
        <v>COGIC, Wisconsin Third Jurisdiction</v>
      </c>
      <c r="C17" s="34" t="str">
        <f>IF(Data!A11&lt;&gt;"",Data!B11,"")</f>
        <v>incomplete</v>
      </c>
      <c r="D17" s="35" t="str">
        <f>IF(Data!A11&lt;&gt;"",Data!C11,"")</f>
        <v>PR</v>
      </c>
      <c r="E17" s="35">
        <f>IF(Data!A11&lt;&gt;"",Data!D11,"")</f>
        <v>0</v>
      </c>
    </row>
    <row r="18" spans="2:5" ht="18" customHeight="1">
      <c r="B18" s="67" t="str">
        <f>IF(Data!A12&lt;&gt;"",Data!A12,"")</f>
        <v>Community of Christ Headwaters Mission Center</v>
      </c>
      <c r="C18" s="29" t="str">
        <f>IF(Data!A12&lt;&gt;"",Data!B12,"")</f>
        <v>Mr. Matt Davisdon</v>
      </c>
      <c r="D18" s="30" t="str">
        <f>IF(Data!A12&lt;&gt;"",Data!C12,"")</f>
        <v>—</v>
      </c>
      <c r="E18" s="30">
        <f>IF(Data!A12&lt;&gt;"",Data!D12,"")</f>
        <v>6</v>
      </c>
    </row>
    <row r="19" spans="2:5" ht="18" customHeight="1">
      <c r="B19" s="68" t="str">
        <f>IF(Data!A13&lt;&gt;"",Data!A13,"")</f>
        <v>Coptic Orthodox Church</v>
      </c>
      <c r="C19" s="34" t="str">
        <f>IF(Data!A13&lt;&gt;"",Data!B13,"")</f>
        <v>Fr. Gergis (msn)/ Fr. Awadalla (mke)</v>
      </c>
      <c r="D19" s="35" t="str">
        <f>IF(Data!A13&lt;&gt;"",Data!C13,"")</f>
        <v>ALL</v>
      </c>
      <c r="E19" s="35">
        <f>IF(Data!A13&lt;&gt;"",Data!D13,"")</f>
        <v>2</v>
      </c>
    </row>
    <row r="20" spans="2:5" ht="18" customHeight="1">
      <c r="B20" s="67" t="str">
        <f>IF(Data!A14&lt;&gt;"",Data!A14,"")</f>
        <v>Ecumenical Catholic Communion</v>
      </c>
      <c r="C20" s="29" t="str">
        <f>IF(Data!A14&lt;&gt;"",Data!B14,"")</f>
        <v>Rev. Mimi Maki</v>
      </c>
      <c r="D20" s="30" t="str">
        <f>IF(Data!A14&lt;&gt;"",Data!C14,"")</f>
        <v>—</v>
      </c>
      <c r="E20" s="30">
        <f>IF(Data!A14&lt;&gt;"",Data!D14,"")</f>
        <v>1</v>
      </c>
    </row>
    <row r="21" spans="2:5" ht="18" customHeight="1">
      <c r="B21" s="68" t="str">
        <f>IF(Data!A15&lt;&gt;"",Data!A15,"")</f>
        <v>ELCA East-Central Synod</v>
      </c>
      <c r="C21" s="34" t="str">
        <f>IF(Data!A15&lt;&gt;"",Data!B15,"")</f>
        <v>Bishop Anne Edison Albright</v>
      </c>
      <c r="D21" s="35" t="str">
        <f>IF(Data!A15&lt;&gt;"",Data!C15,"")</f>
        <v>—</v>
      </c>
      <c r="E21" s="35">
        <f>IF(Data!A15&lt;&gt;"",Data!D15,"")</f>
        <v>19</v>
      </c>
    </row>
    <row r="22" spans="2:5" ht="18" customHeight="1">
      <c r="B22" s="67" t="str">
        <f>IF(Data!A16&lt;&gt;"",Data!A16,"")</f>
        <v>ELCA Greater Milwaukee Synod</v>
      </c>
      <c r="C22" s="29" t="str">
        <f>IF(Data!A16&lt;&gt;"",Data!B16,"")</f>
        <v>Bishop Paul Erickson</v>
      </c>
      <c r="D22" s="30" t="str">
        <f>IF(Data!A16&lt;&gt;"",Data!C16,"")</f>
        <v>—</v>
      </c>
      <c r="E22" s="30">
        <f>IF(Data!A16&lt;&gt;"",Data!D16,"")</f>
        <v>8</v>
      </c>
    </row>
    <row r="23" spans="2:5" ht="18" customHeight="1">
      <c r="B23" s="68" t="str">
        <f>IF(Data!A17&lt;&gt;"",Data!A17,"")</f>
        <v>ELCA LaCrosse Area Synod</v>
      </c>
      <c r="C23" s="34" t="str">
        <f>IF(Data!A17&lt;&gt;"",Data!B17,"")</f>
        <v>Bishop Felix Malpica</v>
      </c>
      <c r="D23" s="35" t="str">
        <f>IF(Data!A17&lt;&gt;"",Data!C17,"")</f>
        <v>—</v>
      </c>
      <c r="E23" s="35">
        <f>IF(Data!A17&lt;&gt;"",Data!D17,"")</f>
        <v>7</v>
      </c>
    </row>
    <row r="24" spans="2:5" ht="18" customHeight="1">
      <c r="B24" s="67" t="str">
        <f>IF(Data!A18&lt;&gt;"",Data!A18,"")</f>
        <v>ELCA Northern Great Lakes Synod</v>
      </c>
      <c r="C24" s="29" t="str">
        <f>IF(Data!A18&lt;&gt;"",Data!B18,"")</f>
        <v>Bishop Katherine Finegan</v>
      </c>
      <c r="D24" s="30" t="str">
        <f>IF(Data!A18&lt;&gt;"",Data!C18,"")</f>
        <v>—</v>
      </c>
      <c r="E24" s="30">
        <f>IF(Data!A18&lt;&gt;"",Data!D18,"")</f>
        <v>0</v>
      </c>
    </row>
    <row r="25" spans="2:5" ht="18" customHeight="1">
      <c r="B25" s="68" t="str">
        <f>IF(Data!A19&lt;&gt;"",Data!A19,"")</f>
        <v>ELCA Northwest Synod</v>
      </c>
      <c r="C25" s="34" t="str">
        <f>IF(Data!A19&lt;&gt;"",Data!B19,"")</f>
        <v>Bishop Martin Halom</v>
      </c>
      <c r="D25" s="35" t="str">
        <f>IF(Data!A19&lt;&gt;"",Data!C19,"")</f>
        <v>—</v>
      </c>
      <c r="E25" s="35">
        <f>IF(Data!A19&lt;&gt;"",Data!D19,"")</f>
        <v>19</v>
      </c>
    </row>
    <row r="26" spans="2:5" ht="18" customHeight="1">
      <c r="B26" s="67" t="str">
        <f>IF(Data!A20&lt;&gt;"",Data!A20,"")</f>
        <v>ELCA South-Central Synod</v>
      </c>
      <c r="C26" s="29" t="str">
        <f>IF(Data!A20&lt;&gt;"",Data!B20,"")</f>
        <v>Bishop Joy Mortensen-Weibe</v>
      </c>
      <c r="D26" s="30" t="str">
        <f>IF(Data!A20&lt;&gt;"",Data!C20,"")</f>
        <v>—</v>
      </c>
      <c r="E26" s="30">
        <f>IF(Data!A20&lt;&gt;"",Data!D20,"")</f>
        <v>12</v>
      </c>
    </row>
    <row r="27" spans="2:5" ht="18" customHeight="1">
      <c r="B27" s="68" t="str">
        <f>IF(Data!A21&lt;&gt;"",Data!A21,"")</f>
        <v>Greek Orthodox Church, Diocese of Chicago</v>
      </c>
      <c r="C27" s="34" t="str">
        <f>IF(Data!A21&lt;&gt;"",Data!B21,"")</f>
        <v>Father Cyprian Sas</v>
      </c>
      <c r="D27" s="35" t="str">
        <f>IF(Data!A21&lt;&gt;"",Data!C21,"")</f>
        <v>—</v>
      </c>
      <c r="E27" s="35">
        <f>IF(Data!A21&lt;&gt;"",Data!D21,"")</f>
        <v>18</v>
      </c>
    </row>
    <row r="28" spans="2:5" ht="18" customHeight="1">
      <c r="B28" s="67" t="str">
        <f>IF(Data!A22&lt;&gt;"",Data!A22,"")</f>
        <v>Life Center Madison</v>
      </c>
      <c r="C28" s="29" t="str">
        <f>IF(Data!A22&lt;&gt;"",Data!B22,"")</f>
        <v>Sr. Leader Adam Clausen</v>
      </c>
      <c r="D28" s="30" t="str">
        <f>IF(Data!A22&lt;&gt;"",Data!C22,"")</f>
        <v>—</v>
      </c>
      <c r="E28" s="30">
        <f>IF(Data!A22&lt;&gt;"",Data!D22,"")</f>
        <v>1</v>
      </c>
    </row>
    <row r="29" spans="2:5" ht="18" customHeight="1">
      <c r="B29" s="68" t="str">
        <f>IF(Data!A23&lt;&gt;"",Data!A23,"")</f>
        <v>Mennonite Church USA, Central District Conference</v>
      </c>
      <c r="C29" s="34" t="str">
        <f>IF(Data!A23&lt;&gt;"",Data!B23,"")</f>
        <v>Rev. Valerie Showalter at MMC</v>
      </c>
      <c r="D29" s="35" t="str">
        <f>IF(Data!A23&lt;&gt;"",Data!C23,"")</f>
        <v>—</v>
      </c>
      <c r="E29" s="35">
        <f>IF(Data!A23&lt;&gt;"",Data!D23,"")</f>
        <v>2</v>
      </c>
    </row>
    <row r="30" spans="2:5" ht="18" customHeight="1">
      <c r="B30" s="67" t="str">
        <f>IF(Data!A24&lt;&gt;"",Data!A24,"")</f>
        <v>Metropolitan Community Churches</v>
      </c>
      <c r="C30" s="29" t="str">
        <f>IF(Data!A24&lt;&gt;"",Data!B24,"")</f>
        <v>Lay Led</v>
      </c>
      <c r="D30" s="30" t="str">
        <f>IF(Data!A24&lt;&gt;"",Data!C24,"")</f>
        <v>ALL</v>
      </c>
      <c r="E30" s="30">
        <f>IF(Data!A24&lt;&gt;"",Data!D24,"")</f>
        <v>4</v>
      </c>
    </row>
    <row r="31" spans="2:5" ht="18" customHeight="1">
      <c r="B31" s="68" t="str">
        <f>IF(Data!A25&lt;&gt;"",Data!A25,"")</f>
        <v>Moravian Church, Western District</v>
      </c>
      <c r="C31" s="34" t="str">
        <f>IF(Data!A25&lt;&gt;"",Data!B25,"")</f>
        <v>Jason Andersen</v>
      </c>
      <c r="D31" s="35" t="str">
        <f>IF(Data!A25&lt;&gt;"",Data!C25,"")</f>
        <v>ALL</v>
      </c>
      <c r="E31" s="35">
        <f>IF(Data!A25&lt;&gt;"",Data!D25,"")</f>
        <v>19</v>
      </c>
    </row>
    <row r="32" spans="2:5" ht="18" customHeight="1">
      <c r="B32" s="67" t="str">
        <f>IF(Data!A26&lt;&gt;"",Data!A26,"")</f>
        <v>Orthodox Church in America, Diocese of the Midwest</v>
      </c>
      <c r="C32" s="29" t="str">
        <f>IF(Data!A26&lt;&gt;"",Data!B26,"")</f>
        <v>Fr. Elijah Mueller</v>
      </c>
      <c r="D32" s="30" t="str">
        <f>IF(Data!A26&lt;&gt;"",Data!C26,"")</f>
        <v>ALL</v>
      </c>
      <c r="E32" s="30">
        <f>IF(Data!A26&lt;&gt;"",Data!D26,"")</f>
        <v>19</v>
      </c>
    </row>
    <row r="33" spans="2:6" ht="18" customHeight="1">
      <c r="B33" s="68" t="str">
        <f>IF(Data!A27&lt;&gt;"",Data!A27,"")</f>
        <v>PC(USA), John Knox Presbytery</v>
      </c>
      <c r="C33" s="34" t="str">
        <f>IF(Data!A27&lt;&gt;"",Data!B27,"")</f>
        <v>Rev. Devon Reynolds</v>
      </c>
      <c r="D33" s="35" t="str">
        <f>IF(Data!A27&lt;&gt;"",Data!C27,"")</f>
        <v>—</v>
      </c>
      <c r="E33" s="35">
        <f>IF(Data!A27&lt;&gt;"",Data!D27,"")</f>
        <v>18</v>
      </c>
    </row>
    <row r="34" spans="2:6" ht="18" customHeight="1">
      <c r="B34" s="67" t="str">
        <f>IF(Data!A28&lt;&gt;"",Data!A28,"")</f>
        <v>PC(USA), Milwaukee Presbytery</v>
      </c>
      <c r="C34" s="29" t="str">
        <f>IF(Data!A28&lt;&gt;"",Data!B28,"")</f>
        <v>Rev. Christian Boyd, Ann Gibbs</v>
      </c>
      <c r="D34" s="30" t="str">
        <f>IF(Data!A28&lt;&gt;"",Data!C28,"")</f>
        <v>—</v>
      </c>
      <c r="E34" s="30">
        <f>IF(Data!A28&lt;&gt;"",Data!D28,"")</f>
        <v>11</v>
      </c>
    </row>
    <row r="35" spans="2:6" ht="18" customHeight="1">
      <c r="B35" s="68" t="str">
        <f>IF(Data!A29&lt;&gt;"",Data!A29,"")</f>
        <v>PC(USA), Northern Waters Presbytery</v>
      </c>
      <c r="C35" s="34" t="str">
        <f>IF(Data!A29&lt;&gt;"",Data!B29,"")</f>
        <v>Rev. Richard Blood</v>
      </c>
      <c r="D35" s="35" t="str">
        <f>IF(Data!A29&lt;&gt;"",Data!C29,"")</f>
        <v>—</v>
      </c>
      <c r="E35" s="35">
        <f>IF(Data!A29&lt;&gt;"",Data!D29,"")</f>
        <v>20</v>
      </c>
    </row>
    <row r="36" spans="2:6" ht="18" customHeight="1">
      <c r="B36" s="67" t="str">
        <f>IF(Data!A30&lt;&gt;"",Data!A30,"")</f>
        <v>PC(USA), Winnebago Presbytery</v>
      </c>
      <c r="C36" s="29" t="str">
        <f>IF(Data!A30&lt;&gt;"",Data!B30,"")</f>
        <v>Rev. Dave Colby</v>
      </c>
      <c r="D36" s="30" t="str">
        <f>IF(Data!A30&lt;&gt;"",Data!C30,"")</f>
        <v>—</v>
      </c>
      <c r="E36" s="30">
        <f>IF(Data!A30&lt;&gt;"",Data!D30,"")</f>
        <v>23</v>
      </c>
    </row>
    <row r="37" spans="2:6" ht="18" customHeight="1">
      <c r="B37" s="68" t="str">
        <f>IF(Data!A31&lt;&gt;"",Data!A31,"")</f>
        <v>Roman Catholic Archdiocese of Milwaukee</v>
      </c>
      <c r="C37" s="34" t="str">
        <f>IF(Data!A31&lt;&gt;"",Data!B31,"")</f>
        <v>Archbishop Grob</v>
      </c>
      <c r="D37" s="35" t="str">
        <f>IF(Data!A31&lt;&gt;"",Data!C31,"")</f>
        <v>—</v>
      </c>
      <c r="E37" s="35">
        <f>IF(Data!A31&lt;&gt;"",Data!D31,"")</f>
        <v>10</v>
      </c>
    </row>
    <row r="38" spans="2:6" ht="18" customHeight="1">
      <c r="B38" s="67" t="str">
        <f>IF(Data!A32&lt;&gt;"",Data!A32,"")</f>
        <v>Roman Catholic Diocese of Green Bay</v>
      </c>
      <c r="C38" s="29" t="str">
        <f>IF(Data!A32&lt;&gt;"",Data!B32,"")</f>
        <v>Bishop Ricken</v>
      </c>
      <c r="D38" s="30" t="str">
        <f>IF(Data!A32&lt;&gt;"",Data!C32,"")</f>
        <v>—</v>
      </c>
      <c r="E38" s="30">
        <f>IF(Data!A32&lt;&gt;"",Data!D32,"")</f>
        <v>16</v>
      </c>
    </row>
    <row r="39" spans="2:6" ht="18" customHeight="1">
      <c r="B39" s="68" t="str">
        <f>IF(Data!A33&lt;&gt;"",Data!A33,"")</f>
        <v>Roman Catholic Diocese of LaCrosse</v>
      </c>
      <c r="C39" s="34" t="str">
        <f>IF(Data!A33&lt;&gt;"",Data!B33,"")</f>
        <v>Bishop Battersby</v>
      </c>
      <c r="D39" s="35" t="str">
        <f>IF(Data!A33&lt;&gt;"",Data!C33,"")</f>
        <v>—</v>
      </c>
      <c r="E39" s="35">
        <f>IF(Data!A33&lt;&gt;"",Data!D33,"")</f>
        <v>19</v>
      </c>
    </row>
    <row r="40" spans="2:6" ht="18" customHeight="1">
      <c r="B40" s="67" t="str">
        <f>IF(Data!A34&lt;&gt;"",Data!A34,"")</f>
        <v>The Episcopal Diocese of Wisconsin</v>
      </c>
      <c r="C40" s="29" t="str">
        <f>IF(Data!A34&lt;&gt;"",Data!B34,"")</f>
        <v>Bishop Matthew Gunter</v>
      </c>
      <c r="D40" s="30" t="str">
        <f>IF(Data!A34&lt;&gt;"",Data!C34,"")</f>
        <v>ALL</v>
      </c>
      <c r="E40" s="30">
        <f>IF(Data!A34&lt;&gt;"",Data!D34,"")</f>
        <v>0</v>
      </c>
    </row>
    <row r="41" spans="2:6" ht="18" customHeight="1">
      <c r="B41" s="68" t="str">
        <f>IF(Data!A35&lt;&gt;"",Data!A35,"")</f>
        <v>UCC-WI, Eastern Region</v>
      </c>
      <c r="C41" s="34" t="str">
        <f>IF(Data!A35&lt;&gt;"",Data!B35,"")</f>
        <v>Rev. Jane Anderson</v>
      </c>
      <c r="D41" s="35" t="str">
        <f>IF(Data!A35&lt;&gt;"",Data!C35,"")</f>
        <v>—</v>
      </c>
      <c r="E41" s="35">
        <f>IF(Data!A35&lt;&gt;"",Data!D35,"")</f>
        <v>21</v>
      </c>
    </row>
    <row r="42" spans="2:6" ht="18" customHeight="1">
      <c r="B42" s="67" t="str">
        <f>IF(Data!A36&lt;&gt;"",Data!A36,"")</f>
        <v>UCC-WI, Northern Region</v>
      </c>
      <c r="C42" s="29" t="str">
        <f>IF(Data!A36&lt;&gt;"",Data!B36,"")</f>
        <v>vacant</v>
      </c>
      <c r="D42" s="30" t="str">
        <f>IF(Data!A36&lt;&gt;"",Data!C36,"")</f>
        <v>—</v>
      </c>
      <c r="E42" s="30">
        <f>IF(Data!A36&lt;&gt;"",Data!D36,"")</f>
        <v>34</v>
      </c>
    </row>
    <row r="43" spans="2:6" ht="18" customHeight="1">
      <c r="B43" s="68" t="str">
        <f>IF(Data!A37&lt;&gt;"",Data!A37,"")</f>
        <v>UCC-WI, Southern Region</v>
      </c>
      <c r="C43" s="34" t="str">
        <f>IF(Data!A37&lt;&gt;"",Data!B37,"")</f>
        <v>Rev. Rachel Bauman</v>
      </c>
      <c r="D43" s="35" t="str">
        <f>IF(Data!A37&lt;&gt;"",Data!C37,"")</f>
        <v>—</v>
      </c>
      <c r="E43" s="35">
        <f>IF(Data!A37&lt;&gt;"",Data!D37,"")</f>
        <v>21</v>
      </c>
    </row>
    <row r="44" spans="2:6" ht="18" customHeight="1">
      <c r="B44" s="67" t="str">
        <f>IF(Data!A38&lt;&gt;"",Data!A38,"")</f>
        <v>UMC - WI, North East District</v>
      </c>
      <c r="C44" s="29" t="str">
        <f>IF(Data!A38&lt;&gt;"",Data!B38,"")</f>
        <v>Rev. M. Park Hunter</v>
      </c>
      <c r="D44" s="30" t="str">
        <f>IF(Data!A38&lt;&gt;"",Data!C38,"")</f>
        <v>—</v>
      </c>
      <c r="E44" s="30">
        <f>IF(Data!A38&lt;&gt;"",Data!D38,"")</f>
        <v>23</v>
      </c>
    </row>
    <row r="45" spans="2:6" ht="18" customHeight="1">
      <c r="B45" s="68" t="str">
        <f>IF(Data!A39&lt;&gt;"",Data!A39,"")</f>
        <v>UMC - WI, North West District</v>
      </c>
      <c r="C45" s="34" t="str">
        <f>IF(Data!A39&lt;&gt;"",Data!B39,"")</f>
        <v>Rev. PyungAhn "Peace" Kim</v>
      </c>
      <c r="D45" s="35" t="str">
        <f>IF(Data!A39&lt;&gt;"",Data!C39,"")</f>
        <v>—</v>
      </c>
      <c r="E45" s="35">
        <f>IF(Data!A39&lt;&gt;"",Data!D39,"")</f>
        <v>23</v>
      </c>
    </row>
    <row r="46" spans="2:6" ht="18" customHeight="1">
      <c r="B46" s="67" t="str">
        <f>IF(Data!A40&lt;&gt;"",Data!A40,"")</f>
        <v>UMC - WI, South East District</v>
      </c>
      <c r="C46" s="29" t="str">
        <f>IF(Data!A40&lt;&gt;"",Data!B40,"")</f>
        <v>Rev. Amanda Stein</v>
      </c>
      <c r="D46" s="30" t="str">
        <f>IF(Data!A40&lt;&gt;"",Data!C40,"")</f>
        <v>—</v>
      </c>
      <c r="E46" s="30">
        <f>IF(Data!A40&lt;&gt;"",Data!D40,"")</f>
        <v>11</v>
      </c>
    </row>
    <row r="47" spans="2:6" ht="18" customHeight="1">
      <c r="B47" s="68" t="str">
        <f>IF(Data!A41&lt;&gt;"",Data!A41,"")</f>
        <v>UMC - WI, South West District</v>
      </c>
      <c r="C47" s="34" t="str">
        <f>IF(Data!A41&lt;&gt;"",Data!B41,"")</f>
        <v>Rev. In Sun Lee</v>
      </c>
      <c r="D47" s="35" t="str">
        <f>IF(Data!A41&lt;&gt;"",Data!C41,"")</f>
        <v>—</v>
      </c>
      <c r="E47" s="35">
        <f>IF(Data!A41&lt;&gt;"",Data!D41,"")</f>
        <v>15</v>
      </c>
    </row>
    <row r="48" spans="2:6" ht="18" customHeight="1">
      <c r="B48" s="67" t="str">
        <f>IF(Data!A42&lt;&gt;"",Data!A42,"")</f>
        <v>UMC- Boo</v>
      </c>
      <c r="C48" s="29" t="str">
        <f>IF(Data!A42&lt;&gt;"",Data!B42,"")</f>
        <v>Dada</v>
      </c>
      <c r="D48" s="30">
        <f>IF(Data!A42&lt;&gt;"",Data!C42,"")</f>
        <v>0</v>
      </c>
      <c r="E48" s="30">
        <f>IF(Data!A42&lt;&gt;"",Data!D42,"")</f>
        <v>72</v>
      </c>
      <c r="F48" s="69" t="s">
        <v>280</v>
      </c>
    </row>
    <row r="49" spans="2:5" ht="18" customHeight="1">
      <c r="B49" s="68" t="str">
        <f>IF(Data!A43&lt;&gt;"",Data!A43,"")</f>
        <v/>
      </c>
      <c r="C49" s="34" t="str">
        <f>IF(Data!A43&lt;&gt;"",Data!B43,"")</f>
        <v/>
      </c>
      <c r="D49" s="35" t="str">
        <f>IF(Data!A43&lt;&gt;"",Data!C43,"")</f>
        <v/>
      </c>
      <c r="E49" s="35" t="str">
        <f>IF(Data!A43&lt;&gt;"",Data!D43,"")</f>
        <v/>
      </c>
    </row>
    <row r="50" spans="2:5" ht="18" customHeight="1">
      <c r="B50" s="67" t="str">
        <f>IF(Data!A44&lt;&gt;"",Data!A44,"")</f>
        <v/>
      </c>
      <c r="C50" s="29" t="str">
        <f>IF(Data!A44&lt;&gt;"",Data!B44,"")</f>
        <v/>
      </c>
      <c r="D50" s="30" t="str">
        <f>IF(Data!A44&lt;&gt;"",Data!C44,"")</f>
        <v/>
      </c>
      <c r="E50" s="30" t="str">
        <f>IF(Data!A44&lt;&gt;"",Data!D44,"")</f>
        <v/>
      </c>
    </row>
    <row r="51" spans="2:5" ht="18" customHeight="1">
      <c r="B51" s="68" t="str">
        <f>IF(Data!A45&lt;&gt;"",Data!A45,"")</f>
        <v/>
      </c>
      <c r="C51" s="34" t="str">
        <f>IF(Data!A45&lt;&gt;"",Data!B45,"")</f>
        <v/>
      </c>
      <c r="D51" s="35" t="str">
        <f>IF(Data!A45&lt;&gt;"",Data!C45,"")</f>
        <v/>
      </c>
      <c r="E51" s="35" t="str">
        <f>IF(Data!A45&lt;&gt;"",Data!D45,"")</f>
        <v/>
      </c>
    </row>
    <row r="52" spans="2:5" ht="18" customHeight="1">
      <c r="B52" s="67" t="str">
        <f>IF(Data!A46&lt;&gt;"",Data!A46,"")</f>
        <v/>
      </c>
      <c r="C52" s="29" t="str">
        <f>IF(Data!A46&lt;&gt;"",Data!B46,"")</f>
        <v/>
      </c>
      <c r="D52" s="30" t="str">
        <f>IF(Data!A46&lt;&gt;"",Data!C46,"")</f>
        <v/>
      </c>
      <c r="E52" s="30" t="str">
        <f>IF(Data!A46&lt;&gt;"",Data!D46,"")</f>
        <v/>
      </c>
    </row>
    <row r="53" spans="2:5" ht="18" customHeight="1">
      <c r="B53" s="68" t="str">
        <f>IF(Data!A47&lt;&gt;"",Data!A47,"")</f>
        <v/>
      </c>
      <c r="C53" s="34" t="str">
        <f>IF(Data!A47&lt;&gt;"",Data!B47,"")</f>
        <v/>
      </c>
      <c r="D53" s="35" t="str">
        <f>IF(Data!A47&lt;&gt;"",Data!C47,"")</f>
        <v/>
      </c>
      <c r="E53" s="35" t="str">
        <f>IF(Data!A47&lt;&gt;"",Data!D47,"")</f>
        <v/>
      </c>
    </row>
    <row r="54" spans="2:5" ht="18" customHeight="1">
      <c r="B54" s="67" t="str">
        <f>IF(Data!A48&lt;&gt;"",Data!A48,"")</f>
        <v/>
      </c>
      <c r="C54" s="29" t="str">
        <f>IF(Data!A48&lt;&gt;"",Data!B48,"")</f>
        <v/>
      </c>
      <c r="D54" s="30" t="str">
        <f>IF(Data!A48&lt;&gt;"",Data!C48,"")</f>
        <v/>
      </c>
      <c r="E54" s="30" t="str">
        <f>IF(Data!A48&lt;&gt;"",Data!D48,"")</f>
        <v/>
      </c>
    </row>
    <row r="55" spans="2:5" ht="18" customHeight="1">
      <c r="B55" s="68" t="str">
        <f>IF(Data!A49&lt;&gt;"",Data!A49,"")</f>
        <v/>
      </c>
      <c r="C55" s="34" t="str">
        <f>IF(Data!A49&lt;&gt;"",Data!B49,"")</f>
        <v/>
      </c>
      <c r="D55" s="35" t="str">
        <f>IF(Data!A49&lt;&gt;"",Data!C49,"")</f>
        <v/>
      </c>
      <c r="E55" s="35" t="str">
        <f>IF(Data!A49&lt;&gt;"",Data!D49,"")</f>
        <v/>
      </c>
    </row>
    <row r="56" spans="2:5" ht="18" customHeight="1">
      <c r="B56" s="67" t="str">
        <f>IF(Data!A50&lt;&gt;"",Data!A50,"")</f>
        <v/>
      </c>
      <c r="C56" s="29" t="str">
        <f>IF(Data!A50&lt;&gt;"",Data!B50,"")</f>
        <v/>
      </c>
      <c r="D56" s="30" t="str">
        <f>IF(Data!A50&lt;&gt;"",Data!C50,"")</f>
        <v/>
      </c>
      <c r="E56" s="30" t="str">
        <f>IF(Data!A50&lt;&gt;"",Data!D50,"")</f>
        <v/>
      </c>
    </row>
    <row r="57" spans="2:5" ht="18" customHeight="1">
      <c r="B57" s="68" t="str">
        <f>IF(Data!A51&lt;&gt;"",Data!A51,"")</f>
        <v/>
      </c>
      <c r="C57" s="34" t="str">
        <f>IF(Data!A51&lt;&gt;"",Data!B51,"")</f>
        <v/>
      </c>
      <c r="D57" s="35" t="str">
        <f>IF(Data!A51&lt;&gt;"",Data!C51,"")</f>
        <v/>
      </c>
      <c r="E57" s="35" t="str">
        <f>IF(Data!A51&lt;&gt;"",Data!D51,"")</f>
        <v/>
      </c>
    </row>
    <row r="58" spans="2:5" ht="18" customHeight="1">
      <c r="B58" s="67" t="str">
        <f>IF(Data!A52&lt;&gt;"",Data!A52,"")</f>
        <v/>
      </c>
      <c r="C58" s="29" t="str">
        <f>IF(Data!A52&lt;&gt;"",Data!B52,"")</f>
        <v/>
      </c>
      <c r="D58" s="30" t="str">
        <f>IF(Data!A52&lt;&gt;"",Data!C52,"")</f>
        <v/>
      </c>
      <c r="E58" s="30" t="str">
        <f>IF(Data!A52&lt;&gt;"",Data!D52,"")</f>
        <v/>
      </c>
    </row>
    <row r="59" spans="2:5" ht="18" customHeight="1">
      <c r="B59" s="68" t="str">
        <f>IF(Data!A53&lt;&gt;"",Data!A53,"")</f>
        <v/>
      </c>
      <c r="C59" s="34" t="str">
        <f>IF(Data!A53&lt;&gt;"",Data!B53,"")</f>
        <v/>
      </c>
      <c r="D59" s="35" t="str">
        <f>IF(Data!A53&lt;&gt;"",Data!C53,"")</f>
        <v/>
      </c>
      <c r="E59" s="35" t="str">
        <f>IF(Data!A53&lt;&gt;"",Data!D53,"")</f>
        <v/>
      </c>
    </row>
    <row r="60" spans="2:5" ht="18" customHeight="1">
      <c r="B60" s="67" t="str">
        <f>IF(Data!A54&lt;&gt;"",Data!A54,"")</f>
        <v/>
      </c>
      <c r="C60" s="29" t="str">
        <f>IF(Data!A54&lt;&gt;"",Data!B54,"")</f>
        <v/>
      </c>
      <c r="D60" s="30" t="str">
        <f>IF(Data!A54&lt;&gt;"",Data!C54,"")</f>
        <v/>
      </c>
      <c r="E60" s="30" t="str">
        <f>IF(Data!A54&lt;&gt;"",Data!D54,"")</f>
        <v/>
      </c>
    </row>
    <row r="61" spans="2:5" ht="18" customHeight="1">
      <c r="B61" s="68" t="str">
        <f>IF(Data!A55&lt;&gt;"",Data!A55,"")</f>
        <v/>
      </c>
      <c r="C61" s="34" t="str">
        <f>IF(Data!A55&lt;&gt;"",Data!B55,"")</f>
        <v/>
      </c>
      <c r="D61" s="35" t="str">
        <f>IF(Data!A55&lt;&gt;"",Data!C55,"")</f>
        <v/>
      </c>
      <c r="E61" s="35" t="str">
        <f>IF(Data!A55&lt;&gt;"",Data!D55,"")</f>
        <v/>
      </c>
    </row>
    <row r="62" spans="2:5" ht="18" customHeight="1">
      <c r="B62" s="67" t="str">
        <f>IF(Data!A56&lt;&gt;"",Data!A56,"")</f>
        <v/>
      </c>
      <c r="C62" s="29" t="str">
        <f>IF(Data!A56&lt;&gt;"",Data!B56,"")</f>
        <v/>
      </c>
      <c r="D62" s="30" t="str">
        <f>IF(Data!A56&lt;&gt;"",Data!C56,"")</f>
        <v/>
      </c>
      <c r="E62" s="30" t="str">
        <f>IF(Data!A56&lt;&gt;"",Data!D56,"")</f>
        <v/>
      </c>
    </row>
    <row r="63" spans="2:5" ht="18" customHeight="1">
      <c r="B63" s="68" t="str">
        <f>IF(Data!A57&lt;&gt;"",Data!A57,"")</f>
        <v/>
      </c>
      <c r="C63" s="34" t="str">
        <f>IF(Data!A57&lt;&gt;"",Data!B57,"")</f>
        <v/>
      </c>
      <c r="D63" s="35" t="str">
        <f>IF(Data!A57&lt;&gt;"",Data!C57,"")</f>
        <v/>
      </c>
      <c r="E63" s="35" t="str">
        <f>IF(Data!A57&lt;&gt;"",Data!D57,"")</f>
        <v/>
      </c>
    </row>
    <row r="64" spans="2:5" ht="18" customHeight="1">
      <c r="B64" s="67" t="str">
        <f>IF(Data!A58&lt;&gt;"",Data!A58,"")</f>
        <v/>
      </c>
      <c r="C64" s="29" t="str">
        <f>IF(Data!A58&lt;&gt;"",Data!B58,"")</f>
        <v/>
      </c>
      <c r="D64" s="30" t="str">
        <f>IF(Data!A58&lt;&gt;"",Data!C58,"")</f>
        <v/>
      </c>
      <c r="E64" s="30" t="str">
        <f>IF(Data!A58&lt;&gt;"",Data!D58,"")</f>
        <v/>
      </c>
    </row>
    <row r="65" spans="2:5" ht="18" customHeight="1">
      <c r="B65" s="68" t="str">
        <f>IF(Data!A59&lt;&gt;"",Data!A59,"")</f>
        <v/>
      </c>
      <c r="C65" s="34" t="str">
        <f>IF(Data!A59&lt;&gt;"",Data!B59,"")</f>
        <v/>
      </c>
      <c r="D65" s="35" t="str">
        <f>IF(Data!A59&lt;&gt;"",Data!C59,"")</f>
        <v/>
      </c>
      <c r="E65" s="35" t="str">
        <f>IF(Data!A59&lt;&gt;"",Data!D59,"")</f>
        <v/>
      </c>
    </row>
    <row r="66" spans="2:5" ht="18" customHeight="1">
      <c r="B66" s="67" t="str">
        <f>IF(Data!A60&lt;&gt;"",Data!A60,"")</f>
        <v/>
      </c>
      <c r="C66" s="29" t="str">
        <f>IF(Data!A60&lt;&gt;"",Data!B60,"")</f>
        <v/>
      </c>
      <c r="D66" s="30" t="str">
        <f>IF(Data!A60&lt;&gt;"",Data!C60,"")</f>
        <v/>
      </c>
      <c r="E66" s="30" t="str">
        <f>IF(Data!A60&lt;&gt;"",Data!D60,"")</f>
        <v/>
      </c>
    </row>
    <row r="67" spans="2:5" ht="18" customHeight="1">
      <c r="B67" s="68" t="str">
        <f>IF(Data!A61&lt;&gt;"",Data!A61,"")</f>
        <v/>
      </c>
      <c r="C67" s="34" t="str">
        <f>IF(Data!A61&lt;&gt;"",Data!B61,"")</f>
        <v/>
      </c>
      <c r="D67" s="35" t="str">
        <f>IF(Data!A61&lt;&gt;"",Data!C61,"")</f>
        <v/>
      </c>
      <c r="E67" s="35" t="str">
        <f>IF(Data!A61&lt;&gt;"",Data!D61,"")</f>
        <v/>
      </c>
    </row>
    <row r="68" spans="2:5" ht="15.75" customHeight="1"/>
    <row r="69" spans="2:5" ht="15.75" customHeight="1"/>
    <row r="70" spans="2:5" ht="15.75" customHeight="1"/>
    <row r="71" spans="2:5" ht="15.75" customHeight="1"/>
    <row r="72" spans="2:5" ht="15.75" customHeight="1"/>
    <row r="73" spans="2:5" ht="15.75" customHeight="1"/>
    <row r="74" spans="2:5" ht="15.75" customHeight="1"/>
    <row r="75" spans="2:5" ht="15.75" customHeight="1"/>
    <row r="76" spans="2:5" ht="15.75" customHeight="1"/>
    <row r="77" spans="2:5" ht="15.75" customHeight="1"/>
    <row r="78" spans="2:5" ht="15.75" customHeight="1"/>
    <row r="79" spans="2:5" ht="15.75" customHeight="1"/>
    <row r="80" spans="2:5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B2:E2"/>
    <mergeCell ref="B4:E4"/>
    <mergeCell ref="B6:E6"/>
  </mergeCells>
  <pageMargins left="0.75" right="0.75" top="1" bottom="1" header="0" footer="0"/>
  <pageSetup paperSize="9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ED7D31"/>
  </sheetPr>
  <dimension ref="B1:G1000"/>
  <sheetViews>
    <sheetView showGridLines="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B5" sqref="B5"/>
    </sheetView>
  </sheetViews>
  <sheetFormatPr defaultColWidth="14.41015625" defaultRowHeight="15" customHeight="1"/>
  <cols>
    <col min="1" max="1" width="2" customWidth="1"/>
    <col min="2" max="2" width="38" customWidth="1"/>
    <col min="3" max="3" width="24" customWidth="1"/>
    <col min="4" max="4" width="38" customWidth="1"/>
    <col min="5" max="5" width="24" customWidth="1"/>
    <col min="6" max="6" width="8" customWidth="1"/>
    <col min="7" max="7" width="60" customWidth="1"/>
    <col min="8" max="26" width="8.703125" customWidth="1"/>
  </cols>
  <sheetData>
    <row r="1" spans="2:7" ht="6" customHeight="1"/>
    <row r="2" spans="2:7" ht="45" customHeight="1">
      <c r="B2" s="121" t="s">
        <v>281</v>
      </c>
      <c r="C2" s="101"/>
      <c r="D2" s="101"/>
      <c r="E2" s="101"/>
      <c r="F2" s="101"/>
      <c r="G2" s="98"/>
    </row>
    <row r="3" spans="2:7" ht="6" customHeight="1"/>
    <row r="4" spans="2:7" ht="24" customHeight="1">
      <c r="B4" s="52" t="s">
        <v>282</v>
      </c>
      <c r="C4" s="52" t="s">
        <v>283</v>
      </c>
      <c r="D4" s="52" t="s">
        <v>284</v>
      </c>
      <c r="E4" s="52" t="s">
        <v>285</v>
      </c>
      <c r="F4" s="52" t="s">
        <v>286</v>
      </c>
      <c r="G4" s="52" t="s">
        <v>287</v>
      </c>
    </row>
    <row r="5" spans="2:7" ht="31">
      <c r="B5" s="70" t="str">
        <f>Data!A36</f>
        <v>UCC-WI, Northern Region</v>
      </c>
      <c r="C5" s="54" t="str">
        <f>Data!B36</f>
        <v>vacant</v>
      </c>
      <c r="D5" s="70" t="str">
        <f>Data!A38</f>
        <v>UMC - WI, North East District</v>
      </c>
      <c r="E5" s="54" t="str">
        <f>Data!B38</f>
        <v>Rev. M. Park Hunter</v>
      </c>
      <c r="F5" s="71">
        <v>23</v>
      </c>
      <c r="G5" s="70" t="s">
        <v>270</v>
      </c>
    </row>
    <row r="6" spans="2:7" ht="31">
      <c r="B6" s="72" t="str">
        <f>Data!A36</f>
        <v>UCC-WI, Northern Region</v>
      </c>
      <c r="C6" s="55" t="str">
        <f>Data!B36</f>
        <v>vacant</v>
      </c>
      <c r="D6" s="72" t="str">
        <f>Data!A38</f>
        <v>UMC - WI, North East District</v>
      </c>
      <c r="E6" s="55" t="str">
        <f>Data!B38</f>
        <v>Rev. M. Park Hunter</v>
      </c>
      <c r="F6" s="71">
        <v>23</v>
      </c>
      <c r="G6" s="72" t="s">
        <v>270</v>
      </c>
    </row>
    <row r="7" spans="2:7" ht="31">
      <c r="B7" s="70" t="str">
        <f>Data!A38</f>
        <v>UMC - WI, North East District</v>
      </c>
      <c r="C7" s="54" t="str">
        <f>Data!B38</f>
        <v>Rev. M. Park Hunter</v>
      </c>
      <c r="D7" s="70" t="str">
        <f>Data!A38</f>
        <v>UMC - WI, North East District</v>
      </c>
      <c r="E7" s="54" t="str">
        <f>Data!B38</f>
        <v>Rev. M. Park Hunter</v>
      </c>
      <c r="F7" s="71">
        <v>23</v>
      </c>
      <c r="G7" s="70" t="s">
        <v>270</v>
      </c>
    </row>
    <row r="8" spans="2:7" ht="20.7">
      <c r="B8" s="72" t="str">
        <f>Data!A29</f>
        <v>PC(USA), Northern Waters Presbytery</v>
      </c>
      <c r="C8" s="55" t="str">
        <f>Data!B29</f>
        <v>Rev. Richard Blood</v>
      </c>
      <c r="D8" s="72" t="str">
        <f>Data!A36</f>
        <v>UCC-WI, Northern Region</v>
      </c>
      <c r="E8" s="55" t="str">
        <f>Data!B36</f>
        <v>vacant</v>
      </c>
      <c r="F8" s="71">
        <v>20</v>
      </c>
      <c r="G8" s="72" t="s">
        <v>262</v>
      </c>
    </row>
    <row r="9" spans="2:7" ht="20.7">
      <c r="B9" s="70" t="str">
        <f>Data!A2</f>
        <v>African Methodist Episcopal Church, 4th District</v>
      </c>
      <c r="C9" s="54" t="str">
        <f>Data!B2</f>
        <v>Presiding Elder James Miller</v>
      </c>
      <c r="D9" s="70" t="str">
        <f>Data!A3</f>
        <v>American Baptist Churches of Wisconsin</v>
      </c>
      <c r="E9" s="54" t="str">
        <f>Data!B3</f>
        <v>Rev. Mindi Welton-Mitchell</v>
      </c>
      <c r="F9" s="71">
        <v>19</v>
      </c>
      <c r="G9" s="70" t="s">
        <v>246</v>
      </c>
    </row>
    <row r="10" spans="2:7" ht="20.7">
      <c r="B10" s="72" t="str">
        <f>Data!A2</f>
        <v>African Methodist Episcopal Church, 4th District</v>
      </c>
      <c r="C10" s="55" t="str">
        <f>Data!B2</f>
        <v>Presiding Elder James Miller</v>
      </c>
      <c r="D10" s="72" t="str">
        <f>Data!A23</f>
        <v>Mennonite Church USA, Central District Conference</v>
      </c>
      <c r="E10" s="55" t="str">
        <f>Data!B23</f>
        <v>Rev. Valerie Showalter at MMC</v>
      </c>
      <c r="F10" s="71">
        <v>19</v>
      </c>
      <c r="G10" s="72" t="s">
        <v>246</v>
      </c>
    </row>
    <row r="11" spans="2:7" ht="20.7">
      <c r="B11" s="70" t="str">
        <f>Data!A2</f>
        <v>African Methodist Episcopal Church, 4th District</v>
      </c>
      <c r="C11" s="54" t="str">
        <f>Data!B2</f>
        <v>Presiding Elder James Miller</v>
      </c>
      <c r="D11" s="70" t="str">
        <f>Data!A25</f>
        <v>Moravian Church, Western District</v>
      </c>
      <c r="E11" s="54" t="str">
        <f>Data!B25</f>
        <v>Jason Andersen</v>
      </c>
      <c r="F11" s="71">
        <v>19</v>
      </c>
      <c r="G11" s="70" t="s">
        <v>246</v>
      </c>
    </row>
    <row r="12" spans="2:7" ht="20.7">
      <c r="B12" s="72" t="str">
        <f>Data!A2</f>
        <v>African Methodist Episcopal Church, 4th District</v>
      </c>
      <c r="C12" s="55" t="str">
        <f>Data!B2</f>
        <v>Presiding Elder James Miller</v>
      </c>
      <c r="D12" s="72" t="str">
        <f>Data!A26</f>
        <v>Orthodox Church in America, Diocese of the Midwest</v>
      </c>
      <c r="E12" s="55" t="str">
        <f>Data!B26</f>
        <v>Fr. Elijah Mueller</v>
      </c>
      <c r="F12" s="71">
        <v>19</v>
      </c>
      <c r="G12" s="72" t="s">
        <v>246</v>
      </c>
    </row>
    <row r="13" spans="2:7" ht="20.7">
      <c r="B13" s="70" t="str">
        <f>Data!A3</f>
        <v>American Baptist Churches of Wisconsin</v>
      </c>
      <c r="C13" s="54" t="str">
        <f>Data!B3</f>
        <v>Rev. Mindi Welton-Mitchell</v>
      </c>
      <c r="D13" s="70" t="str">
        <f>Data!A23</f>
        <v>Mennonite Church USA, Central District Conference</v>
      </c>
      <c r="E13" s="54" t="str">
        <f>Data!B23</f>
        <v>Rev. Valerie Showalter at MMC</v>
      </c>
      <c r="F13" s="71">
        <v>19</v>
      </c>
      <c r="G13" s="70" t="s">
        <v>246</v>
      </c>
    </row>
    <row r="14" spans="2:7" ht="20.7">
      <c r="B14" s="72" t="str">
        <f>Data!A3</f>
        <v>American Baptist Churches of Wisconsin</v>
      </c>
      <c r="C14" s="55" t="str">
        <f>Data!B3</f>
        <v>Rev. Mindi Welton-Mitchell</v>
      </c>
      <c r="D14" s="72" t="str">
        <f>Data!A25</f>
        <v>Moravian Church, Western District</v>
      </c>
      <c r="E14" s="55" t="str">
        <f>Data!B25</f>
        <v>Jason Andersen</v>
      </c>
      <c r="F14" s="71">
        <v>19</v>
      </c>
      <c r="G14" s="72" t="s">
        <v>246</v>
      </c>
    </row>
    <row r="15" spans="2:7" ht="20.7">
      <c r="B15" s="70" t="str">
        <f>Data!A3</f>
        <v>American Baptist Churches of Wisconsin</v>
      </c>
      <c r="C15" s="54" t="str">
        <f>Data!B3</f>
        <v>Rev. Mindi Welton-Mitchell</v>
      </c>
      <c r="D15" s="70" t="str">
        <f>Data!A26</f>
        <v>Orthodox Church in America, Diocese of the Midwest</v>
      </c>
      <c r="E15" s="54" t="str">
        <f>Data!B26</f>
        <v>Fr. Elijah Mueller</v>
      </c>
      <c r="F15" s="71">
        <v>19</v>
      </c>
      <c r="G15" s="70" t="s">
        <v>246</v>
      </c>
    </row>
    <row r="16" spans="2:7" ht="20.7">
      <c r="B16" s="72" t="str">
        <f>Data!A23</f>
        <v>Mennonite Church USA, Central District Conference</v>
      </c>
      <c r="C16" s="55" t="str">
        <f>Data!B23</f>
        <v>Rev. Valerie Showalter at MMC</v>
      </c>
      <c r="D16" s="72" t="str">
        <f>Data!A25</f>
        <v>Moravian Church, Western District</v>
      </c>
      <c r="E16" s="55" t="str">
        <f>Data!B25</f>
        <v>Jason Andersen</v>
      </c>
      <c r="F16" s="71">
        <v>19</v>
      </c>
      <c r="G16" s="72" t="s">
        <v>246</v>
      </c>
    </row>
    <row r="17" spans="2:7" ht="20.7">
      <c r="B17" s="70" t="str">
        <f>Data!A23</f>
        <v>Mennonite Church USA, Central District Conference</v>
      </c>
      <c r="C17" s="54" t="str">
        <f>Data!B23</f>
        <v>Rev. Valerie Showalter at MMC</v>
      </c>
      <c r="D17" s="70" t="str">
        <f>Data!A26</f>
        <v>Orthodox Church in America, Diocese of the Midwest</v>
      </c>
      <c r="E17" s="54" t="str">
        <f>Data!B26</f>
        <v>Fr. Elijah Mueller</v>
      </c>
      <c r="F17" s="71">
        <v>19</v>
      </c>
      <c r="G17" s="70" t="s">
        <v>246</v>
      </c>
    </row>
    <row r="18" spans="2:7" ht="20.7">
      <c r="B18" s="72" t="str">
        <f>Data!A25</f>
        <v>Moravian Church, Western District</v>
      </c>
      <c r="C18" s="55" t="str">
        <f>Data!B25</f>
        <v>Jason Andersen</v>
      </c>
      <c r="D18" s="72" t="str">
        <f>Data!A26</f>
        <v>Orthodox Church in America, Diocese of the Midwest</v>
      </c>
      <c r="E18" s="55" t="str">
        <f>Data!B26</f>
        <v>Fr. Elijah Mueller</v>
      </c>
      <c r="F18" s="71">
        <v>19</v>
      </c>
      <c r="G18" s="72" t="s">
        <v>246</v>
      </c>
    </row>
    <row r="19" spans="2:7" ht="20.7">
      <c r="B19" s="70" t="str">
        <f>Data!A29</f>
        <v>PC(USA), Northern Waters Presbytery</v>
      </c>
      <c r="C19" s="54" t="str">
        <f>Data!B29</f>
        <v>Rev. Richard Blood</v>
      </c>
      <c r="D19" s="70" t="str">
        <f>Data!A38</f>
        <v>UMC - WI, North East District</v>
      </c>
      <c r="E19" s="54" t="str">
        <f>Data!B38</f>
        <v>Rev. M. Park Hunter</v>
      </c>
      <c r="F19" s="71">
        <v>19</v>
      </c>
      <c r="G19" s="70" t="s">
        <v>288</v>
      </c>
    </row>
    <row r="20" spans="2:7" ht="20.7">
      <c r="B20" s="72" t="str">
        <f>Data!A29</f>
        <v>PC(USA), Northern Waters Presbytery</v>
      </c>
      <c r="C20" s="55" t="str">
        <f>Data!B29</f>
        <v>Rev. Richard Blood</v>
      </c>
      <c r="D20" s="72" t="str">
        <f>Data!A38</f>
        <v>UMC - WI, North East District</v>
      </c>
      <c r="E20" s="55" t="str">
        <f>Data!B38</f>
        <v>Rev. M. Park Hunter</v>
      </c>
      <c r="F20" s="71">
        <v>19</v>
      </c>
      <c r="G20" s="72" t="s">
        <v>288</v>
      </c>
    </row>
    <row r="21" spans="2:7" ht="20.7">
      <c r="B21" s="70" t="str">
        <f>Data!A2</f>
        <v>African Methodist Episcopal Church, 4th District</v>
      </c>
      <c r="C21" s="54" t="str">
        <f>Data!B2</f>
        <v>Presiding Elder James Miller</v>
      </c>
      <c r="D21" s="70" t="str">
        <f>Data!A21</f>
        <v>Greek Orthodox Church, Diocese of Chicago</v>
      </c>
      <c r="E21" s="54" t="str">
        <f>Data!B21</f>
        <v>Father Cyprian Sas</v>
      </c>
      <c r="F21" s="71">
        <v>18</v>
      </c>
      <c r="G21" s="70" t="s">
        <v>258</v>
      </c>
    </row>
    <row r="22" spans="2:7" ht="20.7">
      <c r="B22" s="72" t="str">
        <f>Data!A3</f>
        <v>American Baptist Churches of Wisconsin</v>
      </c>
      <c r="C22" s="55" t="str">
        <f>Data!B3</f>
        <v>Rev. Mindi Welton-Mitchell</v>
      </c>
      <c r="D22" s="72" t="str">
        <f>Data!A21</f>
        <v>Greek Orthodox Church, Diocese of Chicago</v>
      </c>
      <c r="E22" s="55" t="str">
        <f>Data!B21</f>
        <v>Father Cyprian Sas</v>
      </c>
      <c r="F22" s="71">
        <v>18</v>
      </c>
      <c r="G22" s="72" t="s">
        <v>258</v>
      </c>
    </row>
    <row r="23" spans="2:7" ht="20.7">
      <c r="B23" s="70" t="str">
        <f>Data!A15</f>
        <v>ELCA East-Central Synod</v>
      </c>
      <c r="C23" s="54" t="str">
        <f>Data!B15</f>
        <v>Bishop Anne Edison Albright</v>
      </c>
      <c r="D23" s="70" t="str">
        <f>Data!A30</f>
        <v>PC(USA), Winnebago Presbytery</v>
      </c>
      <c r="E23" s="54" t="str">
        <f>Data!B30</f>
        <v>Rev. Dave Colby</v>
      </c>
      <c r="F23" s="71">
        <v>18</v>
      </c>
      <c r="G23" s="70" t="s">
        <v>289</v>
      </c>
    </row>
    <row r="24" spans="2:7" ht="20.7">
      <c r="B24" s="72" t="str">
        <f>Data!A19</f>
        <v>ELCA Northwest Synod</v>
      </c>
      <c r="C24" s="55" t="str">
        <f>Data!B19</f>
        <v>Bishop Martin Halom</v>
      </c>
      <c r="D24" s="72" t="str">
        <f>Data!A36</f>
        <v>UCC-WI, Northern Region</v>
      </c>
      <c r="E24" s="55" t="str">
        <f>Data!B36</f>
        <v>vacant</v>
      </c>
      <c r="F24" s="71">
        <v>18</v>
      </c>
      <c r="G24" s="72" t="s">
        <v>290</v>
      </c>
    </row>
    <row r="25" spans="2:7" ht="20.7">
      <c r="B25" s="70" t="str">
        <f>Data!A21</f>
        <v>Greek Orthodox Church, Diocese of Chicago</v>
      </c>
      <c r="C25" s="54" t="str">
        <f>Data!B21</f>
        <v>Father Cyprian Sas</v>
      </c>
      <c r="D25" s="70" t="str">
        <f>Data!A23</f>
        <v>Mennonite Church USA, Central District Conference</v>
      </c>
      <c r="E25" s="54" t="str">
        <f>Data!B23</f>
        <v>Rev. Valerie Showalter at MMC</v>
      </c>
      <c r="F25" s="71">
        <v>18</v>
      </c>
      <c r="G25" s="70" t="s">
        <v>258</v>
      </c>
    </row>
    <row r="26" spans="2:7" ht="20.7">
      <c r="B26" s="72" t="str">
        <f>Data!A21</f>
        <v>Greek Orthodox Church, Diocese of Chicago</v>
      </c>
      <c r="C26" s="55" t="str">
        <f>Data!B21</f>
        <v>Father Cyprian Sas</v>
      </c>
      <c r="D26" s="72" t="str">
        <f>Data!A25</f>
        <v>Moravian Church, Western District</v>
      </c>
      <c r="E26" s="55" t="str">
        <f>Data!B25</f>
        <v>Jason Andersen</v>
      </c>
      <c r="F26" s="71">
        <v>18</v>
      </c>
      <c r="G26" s="72" t="s">
        <v>258</v>
      </c>
    </row>
    <row r="27" spans="2:7" ht="20.7">
      <c r="B27" s="70" t="str">
        <f>Data!A21</f>
        <v>Greek Orthodox Church, Diocese of Chicago</v>
      </c>
      <c r="C27" s="54" t="str">
        <f>Data!B21</f>
        <v>Father Cyprian Sas</v>
      </c>
      <c r="D27" s="70" t="str">
        <f>Data!A26</f>
        <v>Orthodox Church in America, Diocese of the Midwest</v>
      </c>
      <c r="E27" s="54" t="str">
        <f>Data!B26</f>
        <v>Fr. Elijah Mueller</v>
      </c>
      <c r="F27" s="71">
        <v>18</v>
      </c>
      <c r="G27" s="70" t="s">
        <v>258</v>
      </c>
    </row>
    <row r="28" spans="2:7" ht="20.7">
      <c r="B28" s="72" t="str">
        <f>Data!A2</f>
        <v>African Methodist Episcopal Church, 4th District</v>
      </c>
      <c r="C28" s="55" t="str">
        <f>Data!B2</f>
        <v>Presiding Elder James Miller</v>
      </c>
      <c r="D28" s="72" t="str">
        <f>Data!A37</f>
        <v>UCC-WI, Southern Region</v>
      </c>
      <c r="E28" s="55" t="str">
        <f>Data!B37</f>
        <v>Rev. Rachel Bauman</v>
      </c>
      <c r="F28" s="71">
        <v>16</v>
      </c>
      <c r="G28" s="72" t="s">
        <v>291</v>
      </c>
    </row>
    <row r="29" spans="2:7" ht="20.7">
      <c r="B29" s="70" t="str">
        <f>Data!A3</f>
        <v>American Baptist Churches of Wisconsin</v>
      </c>
      <c r="C29" s="54" t="str">
        <f>Data!B3</f>
        <v>Rev. Mindi Welton-Mitchell</v>
      </c>
      <c r="D29" s="70" t="str">
        <f>Data!A37</f>
        <v>UCC-WI, Southern Region</v>
      </c>
      <c r="E29" s="54" t="str">
        <f>Data!B37</f>
        <v>Rev. Rachel Bauman</v>
      </c>
      <c r="F29" s="71">
        <v>16</v>
      </c>
      <c r="G29" s="70" t="s">
        <v>291</v>
      </c>
    </row>
    <row r="30" spans="2:7" ht="20.7">
      <c r="B30" s="72" t="str">
        <f>Data!A19</f>
        <v>ELCA Northwest Synod</v>
      </c>
      <c r="C30" s="55" t="str">
        <f>Data!B19</f>
        <v>Bishop Martin Halom</v>
      </c>
      <c r="D30" s="72" t="str">
        <f>Data!A38</f>
        <v>UMC - WI, North East District</v>
      </c>
      <c r="E30" s="55" t="str">
        <f>Data!B38</f>
        <v>Rev. M. Park Hunter</v>
      </c>
      <c r="F30" s="71">
        <v>16</v>
      </c>
      <c r="G30" s="72" t="s">
        <v>292</v>
      </c>
    </row>
    <row r="31" spans="2:7" ht="20.7">
      <c r="B31" s="70" t="str">
        <f>Data!A19</f>
        <v>ELCA Northwest Synod</v>
      </c>
      <c r="C31" s="54" t="str">
        <f>Data!B19</f>
        <v>Bishop Martin Halom</v>
      </c>
      <c r="D31" s="70" t="str">
        <f>Data!A38</f>
        <v>UMC - WI, North East District</v>
      </c>
      <c r="E31" s="54" t="str">
        <f>Data!B38</f>
        <v>Rev. M. Park Hunter</v>
      </c>
      <c r="F31" s="71">
        <v>16</v>
      </c>
      <c r="G31" s="70" t="s">
        <v>292</v>
      </c>
    </row>
    <row r="32" spans="2:7" ht="20.7">
      <c r="B32" s="72" t="str">
        <f>Data!A21</f>
        <v>Greek Orthodox Church, Diocese of Chicago</v>
      </c>
      <c r="C32" s="55" t="str">
        <f>Data!B21</f>
        <v>Father Cyprian Sas</v>
      </c>
      <c r="D32" s="72" t="str">
        <f>Data!A37</f>
        <v>UCC-WI, Southern Region</v>
      </c>
      <c r="E32" s="55" t="str">
        <f>Data!B37</f>
        <v>Rev. Rachel Bauman</v>
      </c>
      <c r="F32" s="71">
        <v>16</v>
      </c>
      <c r="G32" s="72" t="s">
        <v>291</v>
      </c>
    </row>
    <row r="33" spans="2:7" ht="20.7">
      <c r="B33" s="70" t="str">
        <f>Data!A23</f>
        <v>Mennonite Church USA, Central District Conference</v>
      </c>
      <c r="C33" s="54" t="str">
        <f>Data!B23</f>
        <v>Rev. Valerie Showalter at MMC</v>
      </c>
      <c r="D33" s="70" t="str">
        <f>Data!A37</f>
        <v>UCC-WI, Southern Region</v>
      </c>
      <c r="E33" s="54" t="str">
        <f>Data!B37</f>
        <v>Rev. Rachel Bauman</v>
      </c>
      <c r="F33" s="71">
        <v>16</v>
      </c>
      <c r="G33" s="70" t="s">
        <v>291</v>
      </c>
    </row>
    <row r="34" spans="2:7" ht="20.7">
      <c r="B34" s="72" t="str">
        <f>Data!A25</f>
        <v>Moravian Church, Western District</v>
      </c>
      <c r="C34" s="55" t="str">
        <f>Data!B25</f>
        <v>Jason Andersen</v>
      </c>
      <c r="D34" s="72" t="str">
        <f>Data!A37</f>
        <v>UCC-WI, Southern Region</v>
      </c>
      <c r="E34" s="55" t="str">
        <f>Data!B37</f>
        <v>Rev. Rachel Bauman</v>
      </c>
      <c r="F34" s="71">
        <v>16</v>
      </c>
      <c r="G34" s="72" t="s">
        <v>291</v>
      </c>
    </row>
    <row r="35" spans="2:7" ht="20.7">
      <c r="B35" s="70" t="str">
        <f>Data!A26</f>
        <v>Orthodox Church in America, Diocese of the Midwest</v>
      </c>
      <c r="C35" s="54" t="str">
        <f>Data!B26</f>
        <v>Fr. Elijah Mueller</v>
      </c>
      <c r="D35" s="70" t="str">
        <f>Data!A37</f>
        <v>UCC-WI, Southern Region</v>
      </c>
      <c r="E35" s="54" t="str">
        <f>Data!B37</f>
        <v>Rev. Rachel Bauman</v>
      </c>
      <c r="F35" s="71">
        <v>16</v>
      </c>
      <c r="G35" s="70" t="s">
        <v>291</v>
      </c>
    </row>
    <row r="36" spans="2:7" ht="20.7">
      <c r="B36" s="72" t="str">
        <f>Data!A30</f>
        <v>PC(USA), Winnebago Presbytery</v>
      </c>
      <c r="C36" s="55" t="str">
        <f>Data!B30</f>
        <v>Rev. Dave Colby</v>
      </c>
      <c r="D36" s="72" t="str">
        <f>Data!A32</f>
        <v>Roman Catholic Diocese of Green Bay</v>
      </c>
      <c r="E36" s="55" t="str">
        <f>Data!B32</f>
        <v>Bishop Ricken</v>
      </c>
      <c r="F36" s="71">
        <v>16</v>
      </c>
      <c r="G36" s="72" t="s">
        <v>265</v>
      </c>
    </row>
    <row r="37" spans="2:7" ht="20.7">
      <c r="B37" s="70" t="str">
        <f>Data!A30</f>
        <v>PC(USA), Winnebago Presbytery</v>
      </c>
      <c r="C37" s="54" t="str">
        <f>Data!B30</f>
        <v>Rev. Dave Colby</v>
      </c>
      <c r="D37" s="70" t="str">
        <f>Data!A35</f>
        <v>UCC-WI, Eastern Region</v>
      </c>
      <c r="E37" s="54" t="str">
        <f>Data!B35</f>
        <v>Rev. Jane Anderson</v>
      </c>
      <c r="F37" s="71">
        <v>15</v>
      </c>
      <c r="G37" s="70" t="s">
        <v>293</v>
      </c>
    </row>
    <row r="38" spans="2:7" ht="20.7">
      <c r="B38" s="72" t="str">
        <f>Data!A27</f>
        <v>PC(USA), John Knox Presbytery</v>
      </c>
      <c r="C38" s="55" t="str">
        <f>Data!B27</f>
        <v>Rev. Devon Reynolds</v>
      </c>
      <c r="D38" s="72" t="str">
        <f>Data!A41</f>
        <v>UMC - WI, South West District</v>
      </c>
      <c r="E38" s="55" t="str">
        <f>Data!B41</f>
        <v>Rev. In Sun Lee</v>
      </c>
      <c r="F38" s="73">
        <v>14</v>
      </c>
      <c r="G38" s="72" t="s">
        <v>294</v>
      </c>
    </row>
    <row r="39" spans="2:7" ht="20.7">
      <c r="B39" s="70" t="str">
        <f>Data!A33</f>
        <v>Roman Catholic Diocese of LaCrosse</v>
      </c>
      <c r="C39" s="54" t="str">
        <f>Data!B33</f>
        <v>Bishop Battersby</v>
      </c>
      <c r="D39" s="70" t="str">
        <f>Data!A36</f>
        <v>UCC-WI, Northern Region</v>
      </c>
      <c r="E39" s="54" t="str">
        <f>Data!B36</f>
        <v>vacant</v>
      </c>
      <c r="F39" s="73">
        <v>14</v>
      </c>
      <c r="G39" s="70" t="s">
        <v>295</v>
      </c>
    </row>
    <row r="40" spans="2:7" ht="20.7">
      <c r="B40" s="72" t="str">
        <f>Data!A37</f>
        <v>UCC-WI, Southern Region</v>
      </c>
      <c r="C40" s="55" t="str">
        <f>Data!B37</f>
        <v>Rev. Rachel Bauman</v>
      </c>
      <c r="D40" s="72" t="str">
        <f>Data!A41</f>
        <v>UMC - WI, South West District</v>
      </c>
      <c r="E40" s="55" t="str">
        <f>Data!B41</f>
        <v>Rev. In Sun Lee</v>
      </c>
      <c r="F40" s="73">
        <v>14</v>
      </c>
      <c r="G40" s="72" t="s">
        <v>296</v>
      </c>
    </row>
    <row r="41" spans="2:7" ht="20.7">
      <c r="B41" s="70" t="str">
        <f>Data!A15</f>
        <v>ELCA East-Central Synod</v>
      </c>
      <c r="C41" s="54" t="str">
        <f>Data!B15</f>
        <v>Bishop Anne Edison Albright</v>
      </c>
      <c r="D41" s="70" t="str">
        <f>Data!A35</f>
        <v>UCC-WI, Eastern Region</v>
      </c>
      <c r="E41" s="54" t="str">
        <f>Data!B35</f>
        <v>Rev. Jane Anderson</v>
      </c>
      <c r="F41" s="73">
        <v>13</v>
      </c>
      <c r="G41" s="70" t="s">
        <v>297</v>
      </c>
    </row>
    <row r="42" spans="2:7" ht="20.7">
      <c r="B42" s="72" t="str">
        <f>Data!A19</f>
        <v>ELCA Northwest Synod</v>
      </c>
      <c r="C42" s="55" t="str">
        <f>Data!B19</f>
        <v>Bishop Martin Halom</v>
      </c>
      <c r="D42" s="72" t="str">
        <f>Data!A29</f>
        <v>PC(USA), Northern Waters Presbytery</v>
      </c>
      <c r="E42" s="55" t="str">
        <f>Data!B29</f>
        <v>Rev. Richard Blood</v>
      </c>
      <c r="F42" s="73">
        <v>13</v>
      </c>
      <c r="G42" s="72" t="s">
        <v>298</v>
      </c>
    </row>
    <row r="43" spans="2:7" ht="20.7">
      <c r="B43" s="70" t="str">
        <f>Data!A27</f>
        <v>PC(USA), John Knox Presbytery</v>
      </c>
      <c r="C43" s="54" t="str">
        <f>Data!B27</f>
        <v>Rev. Devon Reynolds</v>
      </c>
      <c r="D43" s="70" t="str">
        <f>Data!A37</f>
        <v>UCC-WI, Southern Region</v>
      </c>
      <c r="E43" s="54" t="str">
        <f>Data!B37</f>
        <v>Rev. Rachel Bauman</v>
      </c>
      <c r="F43" s="73">
        <v>13</v>
      </c>
      <c r="G43" s="70" t="s">
        <v>299</v>
      </c>
    </row>
    <row r="44" spans="2:7" ht="20.7">
      <c r="B44" s="72" t="str">
        <f>Data!A32</f>
        <v>Roman Catholic Diocese of Green Bay</v>
      </c>
      <c r="C44" s="55" t="str">
        <f>Data!B32</f>
        <v>Bishop Ricken</v>
      </c>
      <c r="D44" s="72" t="str">
        <f>Data!A35</f>
        <v>UCC-WI, Eastern Region</v>
      </c>
      <c r="E44" s="55" t="str">
        <f>Data!B35</f>
        <v>Rev. Jane Anderson</v>
      </c>
      <c r="F44" s="73">
        <v>13</v>
      </c>
      <c r="G44" s="72" t="s">
        <v>300</v>
      </c>
    </row>
    <row r="45" spans="2:7" ht="20.7">
      <c r="B45" s="70" t="str">
        <f>Data!A2</f>
        <v>African Methodist Episcopal Church, 4th District</v>
      </c>
      <c r="C45" s="54" t="str">
        <f>Data!B2</f>
        <v>Presiding Elder James Miller</v>
      </c>
      <c r="D45" s="70" t="str">
        <f>Data!A20</f>
        <v>ELCA South-Central Synod</v>
      </c>
      <c r="E45" s="54" t="str">
        <f>Data!B20</f>
        <v>Bishop Joy Mortensen-Weibe</v>
      </c>
      <c r="F45" s="73">
        <v>12</v>
      </c>
      <c r="G45" s="70" t="s">
        <v>257</v>
      </c>
    </row>
    <row r="46" spans="2:7" ht="20.7">
      <c r="B46" s="72" t="str">
        <f>Data!A3</f>
        <v>American Baptist Churches of Wisconsin</v>
      </c>
      <c r="C46" s="55" t="str">
        <f>Data!B3</f>
        <v>Rev. Mindi Welton-Mitchell</v>
      </c>
      <c r="D46" s="72" t="str">
        <f>Data!A20</f>
        <v>ELCA South-Central Synod</v>
      </c>
      <c r="E46" s="55" t="str">
        <f>Data!B20</f>
        <v>Bishop Joy Mortensen-Weibe</v>
      </c>
      <c r="F46" s="73">
        <v>12</v>
      </c>
      <c r="G46" s="72" t="s">
        <v>257</v>
      </c>
    </row>
    <row r="47" spans="2:7" ht="20.7">
      <c r="B47" s="70" t="str">
        <f>Data!A15</f>
        <v>ELCA East-Central Synod</v>
      </c>
      <c r="C47" s="54" t="str">
        <f>Data!B15</f>
        <v>Bishop Anne Edison Albright</v>
      </c>
      <c r="D47" s="70" t="str">
        <f>Data!A32</f>
        <v>Roman Catholic Diocese of Green Bay</v>
      </c>
      <c r="E47" s="54" t="str">
        <f>Data!B32</f>
        <v>Bishop Ricken</v>
      </c>
      <c r="F47" s="73">
        <v>12</v>
      </c>
      <c r="G47" s="70" t="s">
        <v>301</v>
      </c>
    </row>
    <row r="48" spans="2:7" ht="20.7">
      <c r="B48" s="72" t="str">
        <f>Data!A20</f>
        <v>ELCA South-Central Synod</v>
      </c>
      <c r="C48" s="55" t="str">
        <f>Data!B20</f>
        <v>Bishop Joy Mortensen-Weibe</v>
      </c>
      <c r="D48" s="72" t="str">
        <f>Data!A21</f>
        <v>Greek Orthodox Church, Diocese of Chicago</v>
      </c>
      <c r="E48" s="55" t="str">
        <f>Data!B21</f>
        <v>Father Cyprian Sas</v>
      </c>
      <c r="F48" s="73">
        <v>12</v>
      </c>
      <c r="G48" s="72" t="s">
        <v>257</v>
      </c>
    </row>
    <row r="49" spans="2:7" ht="20.7">
      <c r="B49" s="70" t="str">
        <f>Data!A20</f>
        <v>ELCA South-Central Synod</v>
      </c>
      <c r="C49" s="54" t="str">
        <f>Data!B20</f>
        <v>Bishop Joy Mortensen-Weibe</v>
      </c>
      <c r="D49" s="70" t="str">
        <f>Data!A23</f>
        <v>Mennonite Church USA, Central District Conference</v>
      </c>
      <c r="E49" s="54" t="str">
        <f>Data!B23</f>
        <v>Rev. Valerie Showalter at MMC</v>
      </c>
      <c r="F49" s="73">
        <v>12</v>
      </c>
      <c r="G49" s="70" t="s">
        <v>257</v>
      </c>
    </row>
    <row r="50" spans="2:7" ht="20.7">
      <c r="B50" s="72" t="str">
        <f>Data!A20</f>
        <v>ELCA South-Central Synod</v>
      </c>
      <c r="C50" s="55" t="str">
        <f>Data!B20</f>
        <v>Bishop Joy Mortensen-Weibe</v>
      </c>
      <c r="D50" s="72" t="str">
        <f>Data!A25</f>
        <v>Moravian Church, Western District</v>
      </c>
      <c r="E50" s="55" t="str">
        <f>Data!B25</f>
        <v>Jason Andersen</v>
      </c>
      <c r="F50" s="73">
        <v>12</v>
      </c>
      <c r="G50" s="72" t="s">
        <v>257</v>
      </c>
    </row>
    <row r="51" spans="2:7" ht="20.7">
      <c r="B51" s="70" t="str">
        <f>Data!A20</f>
        <v>ELCA South-Central Synod</v>
      </c>
      <c r="C51" s="54" t="str">
        <f>Data!B20</f>
        <v>Bishop Joy Mortensen-Weibe</v>
      </c>
      <c r="D51" s="70" t="str">
        <f>Data!A26</f>
        <v>Orthodox Church in America, Diocese of the Midwest</v>
      </c>
      <c r="E51" s="54" t="str">
        <f>Data!B26</f>
        <v>Fr. Elijah Mueller</v>
      </c>
      <c r="F51" s="73">
        <v>12</v>
      </c>
      <c r="G51" s="70" t="s">
        <v>257</v>
      </c>
    </row>
    <row r="52" spans="2:7" ht="20.7">
      <c r="B52" s="72" t="str">
        <f>Data!A20</f>
        <v>ELCA South-Central Synod</v>
      </c>
      <c r="C52" s="55" t="str">
        <f>Data!B20</f>
        <v>Bishop Joy Mortensen-Weibe</v>
      </c>
      <c r="D52" s="72" t="str">
        <f>Data!A37</f>
        <v>UCC-WI, Southern Region</v>
      </c>
      <c r="E52" s="55" t="str">
        <f>Data!B37</f>
        <v>Rev. Rachel Bauman</v>
      </c>
      <c r="F52" s="73">
        <v>12</v>
      </c>
      <c r="G52" s="72" t="s">
        <v>257</v>
      </c>
    </row>
    <row r="53" spans="2:7" ht="20.7">
      <c r="B53" s="70" t="str">
        <f>Data!A2</f>
        <v>African Methodist Episcopal Church, 4th District</v>
      </c>
      <c r="C53" s="54" t="str">
        <f>Data!B2</f>
        <v>Presiding Elder James Miller</v>
      </c>
      <c r="D53" s="70" t="str">
        <f>Data!A28</f>
        <v>PC(USA), Milwaukee Presbytery</v>
      </c>
      <c r="E53" s="54" t="str">
        <f>Data!B28</f>
        <v>Rev. Christian Boyd, Ann Gibbs</v>
      </c>
      <c r="F53" s="73">
        <v>10</v>
      </c>
      <c r="G53" s="70" t="s">
        <v>302</v>
      </c>
    </row>
    <row r="54" spans="2:7" ht="14.35">
      <c r="B54" s="72" t="str">
        <f>Data!A2</f>
        <v>African Methodist Episcopal Church, 4th District</v>
      </c>
      <c r="C54" s="55" t="str">
        <f>Data!B2</f>
        <v>Presiding Elder James Miller</v>
      </c>
      <c r="D54" s="72" t="str">
        <f>Data!A41</f>
        <v>UMC - WI, South West District</v>
      </c>
      <c r="E54" s="55" t="str">
        <f>Data!B41</f>
        <v>Rev. In Sun Lee</v>
      </c>
      <c r="F54" s="73">
        <v>10</v>
      </c>
      <c r="G54" s="72" t="s">
        <v>303</v>
      </c>
    </row>
    <row r="55" spans="2:7" ht="20.7">
      <c r="B55" s="70" t="str">
        <f>Data!A3</f>
        <v>American Baptist Churches of Wisconsin</v>
      </c>
      <c r="C55" s="54" t="str">
        <f>Data!B3</f>
        <v>Rev. Mindi Welton-Mitchell</v>
      </c>
      <c r="D55" s="70" t="str">
        <f>Data!A28</f>
        <v>PC(USA), Milwaukee Presbytery</v>
      </c>
      <c r="E55" s="54" t="str">
        <f>Data!B28</f>
        <v>Rev. Christian Boyd, Ann Gibbs</v>
      </c>
      <c r="F55" s="73">
        <v>10</v>
      </c>
      <c r="G55" s="70" t="s">
        <v>302</v>
      </c>
    </row>
    <row r="56" spans="2:7" ht="14.35">
      <c r="B56" s="72" t="str">
        <f>Data!A3</f>
        <v>American Baptist Churches of Wisconsin</v>
      </c>
      <c r="C56" s="55" t="str">
        <f>Data!B3</f>
        <v>Rev. Mindi Welton-Mitchell</v>
      </c>
      <c r="D56" s="72" t="str">
        <f>Data!A41</f>
        <v>UMC - WI, South West District</v>
      </c>
      <c r="E56" s="55" t="str">
        <f>Data!B41</f>
        <v>Rev. In Sun Lee</v>
      </c>
      <c r="F56" s="73">
        <v>10</v>
      </c>
      <c r="G56" s="72" t="s">
        <v>303</v>
      </c>
    </row>
    <row r="57" spans="2:7" ht="14.35">
      <c r="B57" s="70" t="str">
        <f>Data!A21</f>
        <v>Greek Orthodox Church, Diocese of Chicago</v>
      </c>
      <c r="C57" s="54" t="str">
        <f>Data!B21</f>
        <v>Father Cyprian Sas</v>
      </c>
      <c r="D57" s="70" t="str">
        <f>Data!A41</f>
        <v>UMC - WI, South West District</v>
      </c>
      <c r="E57" s="54" t="str">
        <f>Data!B41</f>
        <v>Rev. In Sun Lee</v>
      </c>
      <c r="F57" s="73">
        <v>10</v>
      </c>
      <c r="G57" s="70" t="s">
        <v>303</v>
      </c>
    </row>
    <row r="58" spans="2:7" ht="20.7">
      <c r="B58" s="72" t="str">
        <f>Data!A23</f>
        <v>Mennonite Church USA, Central District Conference</v>
      </c>
      <c r="C58" s="55" t="str">
        <f>Data!B23</f>
        <v>Rev. Valerie Showalter at MMC</v>
      </c>
      <c r="D58" s="72" t="str">
        <f>Data!A28</f>
        <v>PC(USA), Milwaukee Presbytery</v>
      </c>
      <c r="E58" s="55" t="str">
        <f>Data!B28</f>
        <v>Rev. Christian Boyd, Ann Gibbs</v>
      </c>
      <c r="F58" s="73">
        <v>10</v>
      </c>
      <c r="G58" s="72" t="s">
        <v>302</v>
      </c>
    </row>
    <row r="59" spans="2:7" ht="14.35">
      <c r="B59" s="70" t="str">
        <f>Data!A23</f>
        <v>Mennonite Church USA, Central District Conference</v>
      </c>
      <c r="C59" s="54" t="str">
        <f>Data!B23</f>
        <v>Rev. Valerie Showalter at MMC</v>
      </c>
      <c r="D59" s="70" t="str">
        <f>Data!A41</f>
        <v>UMC - WI, South West District</v>
      </c>
      <c r="E59" s="54" t="str">
        <f>Data!B41</f>
        <v>Rev. In Sun Lee</v>
      </c>
      <c r="F59" s="73">
        <v>10</v>
      </c>
      <c r="G59" s="70" t="s">
        <v>303</v>
      </c>
    </row>
    <row r="60" spans="2:7" ht="20.7">
      <c r="B60" s="72" t="str">
        <f>Data!A25</f>
        <v>Moravian Church, Western District</v>
      </c>
      <c r="C60" s="55" t="str">
        <f>Data!B25</f>
        <v>Jason Andersen</v>
      </c>
      <c r="D60" s="72" t="str">
        <f>Data!A28</f>
        <v>PC(USA), Milwaukee Presbytery</v>
      </c>
      <c r="E60" s="55" t="str">
        <f>Data!B28</f>
        <v>Rev. Christian Boyd, Ann Gibbs</v>
      </c>
      <c r="F60" s="73">
        <v>10</v>
      </c>
      <c r="G60" s="72" t="s">
        <v>302</v>
      </c>
    </row>
    <row r="61" spans="2:7" ht="14.35">
      <c r="B61" s="70" t="str">
        <f>Data!A25</f>
        <v>Moravian Church, Western District</v>
      </c>
      <c r="C61" s="54" t="str">
        <f>Data!B25</f>
        <v>Jason Andersen</v>
      </c>
      <c r="D61" s="70" t="str">
        <f>Data!A41</f>
        <v>UMC - WI, South West District</v>
      </c>
      <c r="E61" s="54" t="str">
        <f>Data!B41</f>
        <v>Rev. In Sun Lee</v>
      </c>
      <c r="F61" s="73">
        <v>10</v>
      </c>
      <c r="G61" s="70" t="s">
        <v>303</v>
      </c>
    </row>
    <row r="62" spans="2:7" ht="20.7">
      <c r="B62" s="72" t="str">
        <f>Data!A26</f>
        <v>Orthodox Church in America, Diocese of the Midwest</v>
      </c>
      <c r="C62" s="55" t="str">
        <f>Data!B26</f>
        <v>Fr. Elijah Mueller</v>
      </c>
      <c r="D62" s="72" t="str">
        <f>Data!A28</f>
        <v>PC(USA), Milwaukee Presbytery</v>
      </c>
      <c r="E62" s="55" t="str">
        <f>Data!B28</f>
        <v>Rev. Christian Boyd, Ann Gibbs</v>
      </c>
      <c r="F62" s="73">
        <v>10</v>
      </c>
      <c r="G62" s="72" t="s">
        <v>302</v>
      </c>
    </row>
    <row r="63" spans="2:7" ht="14.35">
      <c r="B63" s="70" t="str">
        <f>Data!A26</f>
        <v>Orthodox Church in America, Diocese of the Midwest</v>
      </c>
      <c r="C63" s="54" t="str">
        <f>Data!B26</f>
        <v>Fr. Elijah Mueller</v>
      </c>
      <c r="D63" s="70" t="str">
        <f>Data!A41</f>
        <v>UMC - WI, South West District</v>
      </c>
      <c r="E63" s="54" t="str">
        <f>Data!B41</f>
        <v>Rev. In Sun Lee</v>
      </c>
      <c r="F63" s="73">
        <v>10</v>
      </c>
      <c r="G63" s="70" t="s">
        <v>303</v>
      </c>
    </row>
    <row r="64" spans="2:7" ht="20.7">
      <c r="B64" s="72" t="str">
        <f>Data!A27</f>
        <v>PC(USA), John Knox Presbytery</v>
      </c>
      <c r="C64" s="55" t="str">
        <f>Data!B27</f>
        <v>Rev. Devon Reynolds</v>
      </c>
      <c r="D64" s="72" t="str">
        <f>Data!A33</f>
        <v>Roman Catholic Diocese of LaCrosse</v>
      </c>
      <c r="E64" s="55" t="str">
        <f>Data!B33</f>
        <v>Bishop Battersby</v>
      </c>
      <c r="F64" s="73">
        <v>10</v>
      </c>
      <c r="G64" s="72" t="s">
        <v>304</v>
      </c>
    </row>
    <row r="65" spans="2:7" ht="20.7">
      <c r="B65" s="70" t="str">
        <f>Data!A33</f>
        <v>Roman Catholic Diocese of LaCrosse</v>
      </c>
      <c r="C65" s="54" t="str">
        <f>Data!B33</f>
        <v>Bishop Battersby</v>
      </c>
      <c r="D65" s="70" t="str">
        <f>Data!A38</f>
        <v>UMC - WI, North East District</v>
      </c>
      <c r="E65" s="54" t="str">
        <f>Data!B38</f>
        <v>Rev. M. Park Hunter</v>
      </c>
      <c r="F65" s="73">
        <v>10</v>
      </c>
      <c r="G65" s="70" t="s">
        <v>305</v>
      </c>
    </row>
    <row r="66" spans="2:7" ht="20.7">
      <c r="B66" s="72" t="str">
        <f>Data!A33</f>
        <v>Roman Catholic Diocese of LaCrosse</v>
      </c>
      <c r="C66" s="55" t="str">
        <f>Data!B33</f>
        <v>Bishop Battersby</v>
      </c>
      <c r="D66" s="72" t="str">
        <f>Data!A38</f>
        <v>UMC - WI, North East District</v>
      </c>
      <c r="E66" s="55" t="str">
        <f>Data!B38</f>
        <v>Rev. M. Park Hunter</v>
      </c>
      <c r="F66" s="73">
        <v>10</v>
      </c>
      <c r="G66" s="72" t="s">
        <v>305</v>
      </c>
    </row>
    <row r="67" spans="2:7" ht="14.35">
      <c r="B67" s="70" t="str">
        <f>Data!A2</f>
        <v>African Methodist Episcopal Church, 4th District</v>
      </c>
      <c r="C67" s="54" t="str">
        <f>Data!B2</f>
        <v>Presiding Elder James Miller</v>
      </c>
      <c r="D67" s="70" t="str">
        <f>Data!A27</f>
        <v>PC(USA), John Knox Presbytery</v>
      </c>
      <c r="E67" s="54" t="str">
        <f>Data!B27</f>
        <v>Rev. Devon Reynolds</v>
      </c>
      <c r="F67" s="74">
        <v>9</v>
      </c>
      <c r="G67" s="70" t="s">
        <v>306</v>
      </c>
    </row>
    <row r="68" spans="2:7" ht="14.35">
      <c r="B68" s="72" t="str">
        <f>Data!A3</f>
        <v>American Baptist Churches of Wisconsin</v>
      </c>
      <c r="C68" s="55" t="str">
        <f>Data!B3</f>
        <v>Rev. Mindi Welton-Mitchell</v>
      </c>
      <c r="D68" s="72" t="str">
        <f>Data!A27</f>
        <v>PC(USA), John Knox Presbytery</v>
      </c>
      <c r="E68" s="55" t="str">
        <f>Data!B27</f>
        <v>Rev. Devon Reynolds</v>
      </c>
      <c r="F68" s="74">
        <v>9</v>
      </c>
      <c r="G68" s="72" t="s">
        <v>306</v>
      </c>
    </row>
    <row r="69" spans="2:7" ht="14.35">
      <c r="B69" s="70" t="str">
        <f>Data!A19</f>
        <v>ELCA Northwest Synod</v>
      </c>
      <c r="C69" s="54" t="str">
        <f>Data!B19</f>
        <v>Bishop Martin Halom</v>
      </c>
      <c r="D69" s="70" t="str">
        <f>Data!A33</f>
        <v>Roman Catholic Diocese of LaCrosse</v>
      </c>
      <c r="E69" s="54" t="str">
        <f>Data!B33</f>
        <v>Bishop Battersby</v>
      </c>
      <c r="F69" s="74">
        <v>9</v>
      </c>
      <c r="G69" s="70" t="s">
        <v>307</v>
      </c>
    </row>
    <row r="70" spans="2:7" ht="14.35">
      <c r="B70" s="72" t="str">
        <f>Data!A20</f>
        <v>ELCA South-Central Synod</v>
      </c>
      <c r="C70" s="55" t="str">
        <f>Data!B20</f>
        <v>Bishop Joy Mortensen-Weibe</v>
      </c>
      <c r="D70" s="72" t="str">
        <f>Data!A41</f>
        <v>UMC - WI, South West District</v>
      </c>
      <c r="E70" s="55" t="str">
        <f>Data!B41</f>
        <v>Rev. In Sun Lee</v>
      </c>
      <c r="F70" s="74">
        <v>9</v>
      </c>
      <c r="G70" s="72" t="s">
        <v>308</v>
      </c>
    </row>
    <row r="71" spans="2:7" ht="14.35">
      <c r="B71" s="70" t="str">
        <f>Data!A21</f>
        <v>Greek Orthodox Church, Diocese of Chicago</v>
      </c>
      <c r="C71" s="54" t="str">
        <f>Data!B21</f>
        <v>Father Cyprian Sas</v>
      </c>
      <c r="D71" s="70" t="str">
        <f>Data!A27</f>
        <v>PC(USA), John Knox Presbytery</v>
      </c>
      <c r="E71" s="54" t="str">
        <f>Data!B27</f>
        <v>Rev. Devon Reynolds</v>
      </c>
      <c r="F71" s="74">
        <v>9</v>
      </c>
      <c r="G71" s="70" t="s">
        <v>306</v>
      </c>
    </row>
    <row r="72" spans="2:7" ht="14.35">
      <c r="B72" s="72" t="str">
        <f>Data!A21</f>
        <v>Greek Orthodox Church, Diocese of Chicago</v>
      </c>
      <c r="C72" s="55" t="str">
        <f>Data!B21</f>
        <v>Father Cyprian Sas</v>
      </c>
      <c r="D72" s="72" t="str">
        <f>Data!A28</f>
        <v>PC(USA), Milwaukee Presbytery</v>
      </c>
      <c r="E72" s="55" t="str">
        <f>Data!B28</f>
        <v>Rev. Christian Boyd, Ann Gibbs</v>
      </c>
      <c r="F72" s="74">
        <v>9</v>
      </c>
      <c r="G72" s="72" t="s">
        <v>309</v>
      </c>
    </row>
    <row r="73" spans="2:7" ht="14.35">
      <c r="B73" s="70" t="str">
        <f>Data!A23</f>
        <v>Mennonite Church USA, Central District Conference</v>
      </c>
      <c r="C73" s="54" t="str">
        <f>Data!B23</f>
        <v>Rev. Valerie Showalter at MMC</v>
      </c>
      <c r="D73" s="70" t="str">
        <f>Data!A27</f>
        <v>PC(USA), John Knox Presbytery</v>
      </c>
      <c r="E73" s="54" t="str">
        <f>Data!B27</f>
        <v>Rev. Devon Reynolds</v>
      </c>
      <c r="F73" s="74">
        <v>9</v>
      </c>
      <c r="G73" s="70" t="s">
        <v>306</v>
      </c>
    </row>
    <row r="74" spans="2:7" ht="14.35">
      <c r="B74" s="72" t="str">
        <f>Data!A25</f>
        <v>Moravian Church, Western District</v>
      </c>
      <c r="C74" s="55" t="str">
        <f>Data!B25</f>
        <v>Jason Andersen</v>
      </c>
      <c r="D74" s="72" t="str">
        <f>Data!A27</f>
        <v>PC(USA), John Knox Presbytery</v>
      </c>
      <c r="E74" s="55" t="str">
        <f>Data!B27</f>
        <v>Rev. Devon Reynolds</v>
      </c>
      <c r="F74" s="74">
        <v>9</v>
      </c>
      <c r="G74" s="72" t="s">
        <v>306</v>
      </c>
    </row>
    <row r="75" spans="2:7" ht="14.35">
      <c r="B75" s="70" t="str">
        <f>Data!A26</f>
        <v>Orthodox Church in America, Diocese of the Midwest</v>
      </c>
      <c r="C75" s="54" t="str">
        <f>Data!B26</f>
        <v>Fr. Elijah Mueller</v>
      </c>
      <c r="D75" s="70" t="str">
        <f>Data!A27</f>
        <v>PC(USA), John Knox Presbytery</v>
      </c>
      <c r="E75" s="54" t="str">
        <f>Data!B27</f>
        <v>Rev. Devon Reynolds</v>
      </c>
      <c r="F75" s="74">
        <v>9</v>
      </c>
      <c r="G75" s="70" t="s">
        <v>306</v>
      </c>
    </row>
    <row r="76" spans="2:7" ht="20.7">
      <c r="B76" s="72" t="str">
        <f>Data!A28</f>
        <v>PC(USA), Milwaukee Presbytery</v>
      </c>
      <c r="C76" s="55" t="str">
        <f>Data!B28</f>
        <v>Rev. Christian Boyd, Ann Gibbs</v>
      </c>
      <c r="D76" s="72" t="str">
        <f>Data!A31</f>
        <v>Roman Catholic Archdiocese of Milwaukee</v>
      </c>
      <c r="E76" s="55" t="str">
        <f>Data!B31</f>
        <v>Archbishop Grob</v>
      </c>
      <c r="F76" s="74">
        <v>9</v>
      </c>
      <c r="G76" s="72" t="s">
        <v>310</v>
      </c>
    </row>
    <row r="77" spans="2:7" ht="20.7">
      <c r="B77" s="70" t="str">
        <f>Data!A28</f>
        <v>PC(USA), Milwaukee Presbytery</v>
      </c>
      <c r="C77" s="54" t="str">
        <f>Data!B28</f>
        <v>Rev. Christian Boyd, Ann Gibbs</v>
      </c>
      <c r="D77" s="70" t="str">
        <f>Data!A40</f>
        <v>UMC - WI, South East District</v>
      </c>
      <c r="E77" s="54" t="str">
        <f>Data!B40</f>
        <v>Rev. Amanda Stein</v>
      </c>
      <c r="F77" s="74">
        <v>9</v>
      </c>
      <c r="G77" s="70" t="s">
        <v>311</v>
      </c>
    </row>
    <row r="78" spans="2:7" ht="14.35">
      <c r="B78" s="72" t="str">
        <f>Data!A30</f>
        <v>PC(USA), Winnebago Presbytery</v>
      </c>
      <c r="C78" s="55" t="str">
        <f>Data!B30</f>
        <v>Rev. Dave Colby</v>
      </c>
      <c r="D78" s="72" t="str">
        <f>Data!A36</f>
        <v>UCC-WI, Northern Region</v>
      </c>
      <c r="E78" s="55" t="str">
        <f>Data!B36</f>
        <v>vacant</v>
      </c>
      <c r="F78" s="74">
        <v>9</v>
      </c>
      <c r="G78" s="72" t="s">
        <v>312</v>
      </c>
    </row>
    <row r="79" spans="2:7" ht="20.7">
      <c r="B79" s="70" t="str">
        <f>Data!A31</f>
        <v>Roman Catholic Archdiocese of Milwaukee</v>
      </c>
      <c r="C79" s="54" t="str">
        <f>Data!B31</f>
        <v>Archbishop Grob</v>
      </c>
      <c r="D79" s="70" t="str">
        <f>Data!A40</f>
        <v>UMC - WI, South East District</v>
      </c>
      <c r="E79" s="54" t="str">
        <f>Data!B40</f>
        <v>Rev. Amanda Stein</v>
      </c>
      <c r="F79" s="74">
        <v>9</v>
      </c>
      <c r="G79" s="70" t="s">
        <v>313</v>
      </c>
    </row>
    <row r="80" spans="2:7" ht="14.35">
      <c r="B80" s="72" t="str">
        <f>Data!A2</f>
        <v>African Methodist Episcopal Church, 4th District</v>
      </c>
      <c r="C80" s="55" t="str">
        <f>Data!B2</f>
        <v>Presiding Elder James Miller</v>
      </c>
      <c r="D80" s="72" t="str">
        <f>Data!A31</f>
        <v>Roman Catholic Archdiocese of Milwaukee</v>
      </c>
      <c r="E80" s="55" t="str">
        <f>Data!B31</f>
        <v>Archbishop Grob</v>
      </c>
      <c r="F80" s="74">
        <v>8</v>
      </c>
      <c r="G80" s="72" t="s">
        <v>314</v>
      </c>
    </row>
    <row r="81" spans="2:7" ht="14.35">
      <c r="B81" s="70" t="str">
        <f>Data!A2</f>
        <v>African Methodist Episcopal Church, 4th District</v>
      </c>
      <c r="C81" s="54" t="str">
        <f>Data!B2</f>
        <v>Presiding Elder James Miller</v>
      </c>
      <c r="D81" s="70" t="str">
        <f>Data!A40</f>
        <v>UMC - WI, South East District</v>
      </c>
      <c r="E81" s="54" t="str">
        <f>Data!B40</f>
        <v>Rev. Amanda Stein</v>
      </c>
      <c r="F81" s="74">
        <v>8</v>
      </c>
      <c r="G81" s="70" t="s">
        <v>315</v>
      </c>
    </row>
    <row r="82" spans="2:7" ht="14.35">
      <c r="B82" s="72" t="str">
        <f>Data!A3</f>
        <v>American Baptist Churches of Wisconsin</v>
      </c>
      <c r="C82" s="55" t="str">
        <f>Data!B3</f>
        <v>Rev. Mindi Welton-Mitchell</v>
      </c>
      <c r="D82" s="72" t="str">
        <f>Data!A31</f>
        <v>Roman Catholic Archdiocese of Milwaukee</v>
      </c>
      <c r="E82" s="55" t="str">
        <f>Data!B31</f>
        <v>Archbishop Grob</v>
      </c>
      <c r="F82" s="74">
        <v>8</v>
      </c>
      <c r="G82" s="72" t="s">
        <v>314</v>
      </c>
    </row>
    <row r="83" spans="2:7" ht="14.35">
      <c r="B83" s="70" t="str">
        <f>Data!A3</f>
        <v>American Baptist Churches of Wisconsin</v>
      </c>
      <c r="C83" s="54" t="str">
        <f>Data!B3</f>
        <v>Rev. Mindi Welton-Mitchell</v>
      </c>
      <c r="D83" s="70" t="str">
        <f>Data!A40</f>
        <v>UMC - WI, South East District</v>
      </c>
      <c r="E83" s="54" t="str">
        <f>Data!B40</f>
        <v>Rev. Amanda Stein</v>
      </c>
      <c r="F83" s="74">
        <v>8</v>
      </c>
      <c r="G83" s="70" t="s">
        <v>315</v>
      </c>
    </row>
    <row r="84" spans="2:7" ht="14.35">
      <c r="B84" s="72" t="str">
        <f>Data!A20</f>
        <v>ELCA South-Central Synod</v>
      </c>
      <c r="C84" s="55" t="str">
        <f>Data!B20</f>
        <v>Bishop Joy Mortensen-Weibe</v>
      </c>
      <c r="D84" s="72" t="str">
        <f>Data!A27</f>
        <v>PC(USA), John Knox Presbytery</v>
      </c>
      <c r="E84" s="55" t="str">
        <f>Data!B27</f>
        <v>Rev. Devon Reynolds</v>
      </c>
      <c r="F84" s="74">
        <v>8</v>
      </c>
      <c r="G84" s="72" t="s">
        <v>316</v>
      </c>
    </row>
    <row r="85" spans="2:7" ht="14.35">
      <c r="B85" s="70" t="str">
        <f>Data!A21</f>
        <v>Greek Orthodox Church, Diocese of Chicago</v>
      </c>
      <c r="C85" s="54" t="str">
        <f>Data!B21</f>
        <v>Father Cyprian Sas</v>
      </c>
      <c r="D85" s="70" t="str">
        <f>Data!A40</f>
        <v>UMC - WI, South East District</v>
      </c>
      <c r="E85" s="54" t="str">
        <f>Data!B40</f>
        <v>Rev. Amanda Stein</v>
      </c>
      <c r="F85" s="74">
        <v>8</v>
      </c>
      <c r="G85" s="70" t="s">
        <v>315</v>
      </c>
    </row>
    <row r="86" spans="2:7" ht="14.35">
      <c r="B86" s="72" t="str">
        <f>Data!A23</f>
        <v>Mennonite Church USA, Central District Conference</v>
      </c>
      <c r="C86" s="55" t="str">
        <f>Data!B23</f>
        <v>Rev. Valerie Showalter at MMC</v>
      </c>
      <c r="D86" s="72" t="str">
        <f>Data!A31</f>
        <v>Roman Catholic Archdiocese of Milwaukee</v>
      </c>
      <c r="E86" s="55" t="str">
        <f>Data!B31</f>
        <v>Archbishop Grob</v>
      </c>
      <c r="F86" s="74">
        <v>8</v>
      </c>
      <c r="G86" s="72" t="s">
        <v>314</v>
      </c>
    </row>
    <row r="87" spans="2:7" ht="14.35">
      <c r="B87" s="70" t="str">
        <f>Data!A23</f>
        <v>Mennonite Church USA, Central District Conference</v>
      </c>
      <c r="C87" s="54" t="str">
        <f>Data!B23</f>
        <v>Rev. Valerie Showalter at MMC</v>
      </c>
      <c r="D87" s="70" t="str">
        <f>Data!A40</f>
        <v>UMC - WI, South East District</v>
      </c>
      <c r="E87" s="54" t="str">
        <f>Data!B40</f>
        <v>Rev. Amanda Stein</v>
      </c>
      <c r="F87" s="74">
        <v>8</v>
      </c>
      <c r="G87" s="70" t="s">
        <v>315</v>
      </c>
    </row>
    <row r="88" spans="2:7" ht="14.35">
      <c r="B88" s="72" t="str">
        <f>Data!A25</f>
        <v>Moravian Church, Western District</v>
      </c>
      <c r="C88" s="55" t="str">
        <f>Data!B25</f>
        <v>Jason Andersen</v>
      </c>
      <c r="D88" s="72" t="str">
        <f>Data!A31</f>
        <v>Roman Catholic Archdiocese of Milwaukee</v>
      </c>
      <c r="E88" s="55" t="str">
        <f>Data!B31</f>
        <v>Archbishop Grob</v>
      </c>
      <c r="F88" s="74">
        <v>8</v>
      </c>
      <c r="G88" s="72" t="s">
        <v>314</v>
      </c>
    </row>
    <row r="89" spans="2:7" ht="14.35">
      <c r="B89" s="70" t="str">
        <f>Data!A25</f>
        <v>Moravian Church, Western District</v>
      </c>
      <c r="C89" s="54" t="str">
        <f>Data!B25</f>
        <v>Jason Andersen</v>
      </c>
      <c r="D89" s="70" t="str">
        <f>Data!A40</f>
        <v>UMC - WI, South East District</v>
      </c>
      <c r="E89" s="54" t="str">
        <f>Data!B40</f>
        <v>Rev. Amanda Stein</v>
      </c>
      <c r="F89" s="74">
        <v>8</v>
      </c>
      <c r="G89" s="70" t="s">
        <v>315</v>
      </c>
    </row>
    <row r="90" spans="2:7" ht="14.35">
      <c r="B90" s="72" t="str">
        <f>Data!A26</f>
        <v>Orthodox Church in America, Diocese of the Midwest</v>
      </c>
      <c r="C90" s="55" t="str">
        <f>Data!B26</f>
        <v>Fr. Elijah Mueller</v>
      </c>
      <c r="D90" s="72" t="str">
        <f>Data!A31</f>
        <v>Roman Catholic Archdiocese of Milwaukee</v>
      </c>
      <c r="E90" s="55" t="str">
        <f>Data!B31</f>
        <v>Archbishop Grob</v>
      </c>
      <c r="F90" s="74">
        <v>8</v>
      </c>
      <c r="G90" s="72" t="s">
        <v>314</v>
      </c>
    </row>
    <row r="91" spans="2:7" ht="14.35">
      <c r="B91" s="70" t="str">
        <f>Data!A26</f>
        <v>Orthodox Church in America, Diocese of the Midwest</v>
      </c>
      <c r="C91" s="54" t="str">
        <f>Data!B26</f>
        <v>Fr. Elijah Mueller</v>
      </c>
      <c r="D91" s="70" t="str">
        <f>Data!A40</f>
        <v>UMC - WI, South East District</v>
      </c>
      <c r="E91" s="54" t="str">
        <f>Data!B40</f>
        <v>Rev. Amanda Stein</v>
      </c>
      <c r="F91" s="74">
        <v>8</v>
      </c>
      <c r="G91" s="70" t="s">
        <v>315</v>
      </c>
    </row>
    <row r="92" spans="2:7" ht="14.35">
      <c r="B92" s="72" t="str">
        <f>Data!A28</f>
        <v>PC(USA), Milwaukee Presbytery</v>
      </c>
      <c r="C92" s="55" t="str">
        <f>Data!B28</f>
        <v>Rev. Christian Boyd, Ann Gibbs</v>
      </c>
      <c r="D92" s="72" t="str">
        <f>Data!A37</f>
        <v>UCC-WI, Southern Region</v>
      </c>
      <c r="E92" s="55" t="str">
        <f>Data!B37</f>
        <v>Rev. Rachel Bauman</v>
      </c>
      <c r="F92" s="74">
        <v>8</v>
      </c>
      <c r="G92" s="72" t="s">
        <v>317</v>
      </c>
    </row>
    <row r="93" spans="2:7" ht="14.35">
      <c r="B93" s="70" t="str">
        <f>Data!A21</f>
        <v>Greek Orthodox Church, Diocese of Chicago</v>
      </c>
      <c r="C93" s="54" t="str">
        <f>Data!B21</f>
        <v>Father Cyprian Sas</v>
      </c>
      <c r="D93" s="70" t="str">
        <f>Data!A31</f>
        <v>Roman Catholic Archdiocese of Milwaukee</v>
      </c>
      <c r="E93" s="54" t="str">
        <f>Data!B31</f>
        <v>Archbishop Grob</v>
      </c>
      <c r="F93" s="74">
        <v>7</v>
      </c>
      <c r="G93" s="70" t="s">
        <v>318</v>
      </c>
    </row>
    <row r="94" spans="2:7" ht="14.35">
      <c r="B94" s="72" t="str">
        <f>Data!A31</f>
        <v>Roman Catholic Archdiocese of Milwaukee</v>
      </c>
      <c r="C94" s="55" t="str">
        <f>Data!B31</f>
        <v>Archbishop Grob</v>
      </c>
      <c r="D94" s="72" t="str">
        <f>Data!A35</f>
        <v>UCC-WI, Eastern Region</v>
      </c>
      <c r="E94" s="55" t="str">
        <f>Data!B35</f>
        <v>Rev. Jane Anderson</v>
      </c>
      <c r="F94" s="74">
        <v>7</v>
      </c>
      <c r="G94" s="72" t="s">
        <v>319</v>
      </c>
    </row>
    <row r="95" spans="2:7" ht="14.35">
      <c r="B95" s="70" t="str">
        <f>Data!A35</f>
        <v>UCC-WI, Eastern Region</v>
      </c>
      <c r="C95" s="54" t="str">
        <f>Data!B35</f>
        <v>Rev. Jane Anderson</v>
      </c>
      <c r="D95" s="70" t="str">
        <f>Data!A40</f>
        <v>UMC - WI, South East District</v>
      </c>
      <c r="E95" s="54" t="str">
        <f>Data!B40</f>
        <v>Rev. Amanda Stein</v>
      </c>
      <c r="F95" s="74">
        <v>7</v>
      </c>
      <c r="G95" s="70" t="s">
        <v>320</v>
      </c>
    </row>
    <row r="96" spans="2:7" ht="15.75" customHeight="1">
      <c r="B96" s="72" t="str">
        <f>Data!A37</f>
        <v>UCC-WI, Southern Region</v>
      </c>
      <c r="C96" s="55" t="str">
        <f>Data!B37</f>
        <v>Rev. Rachel Bauman</v>
      </c>
      <c r="D96" s="72" t="str">
        <f>Data!A40</f>
        <v>UMC - WI, South East District</v>
      </c>
      <c r="E96" s="55" t="str">
        <f>Data!B40</f>
        <v>Rev. Amanda Stein</v>
      </c>
      <c r="F96" s="74">
        <v>7</v>
      </c>
      <c r="G96" s="72" t="s">
        <v>321</v>
      </c>
    </row>
    <row r="97" spans="2:7" ht="15.75" customHeight="1">
      <c r="B97" s="70" t="str">
        <f>Data!A15</f>
        <v>ELCA East-Central Synod</v>
      </c>
      <c r="C97" s="54" t="str">
        <f>Data!B15</f>
        <v>Bishop Anne Edison Albright</v>
      </c>
      <c r="D97" s="70" t="str">
        <f>Data!A36</f>
        <v>UCC-WI, Northern Region</v>
      </c>
      <c r="E97" s="54" t="str">
        <f>Data!B36</f>
        <v>vacant</v>
      </c>
      <c r="F97" s="74">
        <v>6</v>
      </c>
      <c r="G97" s="70" t="s">
        <v>322</v>
      </c>
    </row>
    <row r="98" spans="2:7" ht="15.75" customHeight="1">
      <c r="B98" s="72" t="str">
        <f>Data!A17</f>
        <v>ELCA LaCrosse Area Synod</v>
      </c>
      <c r="C98" s="55" t="str">
        <f>Data!B17</f>
        <v>Bishop Felix Malpica</v>
      </c>
      <c r="D98" s="72" t="str">
        <f>Data!A27</f>
        <v>PC(USA), John Knox Presbytery</v>
      </c>
      <c r="E98" s="55" t="str">
        <f>Data!B27</f>
        <v>Rev. Devon Reynolds</v>
      </c>
      <c r="F98" s="74">
        <v>6</v>
      </c>
      <c r="G98" s="72" t="s">
        <v>323</v>
      </c>
    </row>
    <row r="99" spans="2:7" ht="15.75" customHeight="1">
      <c r="B99" s="70" t="str">
        <f>Data!A17</f>
        <v>ELCA LaCrosse Area Synod</v>
      </c>
      <c r="C99" s="54" t="str">
        <f>Data!B17</f>
        <v>Bishop Felix Malpica</v>
      </c>
      <c r="D99" s="70" t="str">
        <f>Data!A33</f>
        <v>Roman Catholic Diocese of LaCrosse</v>
      </c>
      <c r="E99" s="54" t="str">
        <f>Data!B33</f>
        <v>Bishop Battersby</v>
      </c>
      <c r="F99" s="74">
        <v>6</v>
      </c>
      <c r="G99" s="70" t="s">
        <v>323</v>
      </c>
    </row>
    <row r="100" spans="2:7" ht="15.75" customHeight="1">
      <c r="B100" s="72" t="str">
        <f>Data!A28</f>
        <v>PC(USA), Milwaukee Presbytery</v>
      </c>
      <c r="C100" s="55" t="str">
        <f>Data!B28</f>
        <v>Rev. Christian Boyd, Ann Gibbs</v>
      </c>
      <c r="D100" s="72" t="str">
        <f>Data!A35</f>
        <v>UCC-WI, Eastern Region</v>
      </c>
      <c r="E100" s="55" t="str">
        <f>Data!B35</f>
        <v>Rev. Jane Anderson</v>
      </c>
      <c r="F100" s="74">
        <v>6</v>
      </c>
      <c r="G100" s="72" t="s">
        <v>324</v>
      </c>
    </row>
    <row r="101" spans="2:7" ht="15.75" customHeight="1">
      <c r="B101" s="70" t="str">
        <f>Data!A29</f>
        <v>PC(USA), Northern Waters Presbytery</v>
      </c>
      <c r="C101" s="54" t="str">
        <f>Data!B29</f>
        <v>Rev. Richard Blood</v>
      </c>
      <c r="D101" s="70" t="str">
        <f>Data!A33</f>
        <v>Roman Catholic Diocese of LaCrosse</v>
      </c>
      <c r="E101" s="54" t="str">
        <f>Data!B33</f>
        <v>Bishop Battersby</v>
      </c>
      <c r="F101" s="74">
        <v>6</v>
      </c>
      <c r="G101" s="70" t="s">
        <v>325</v>
      </c>
    </row>
    <row r="102" spans="2:7" ht="15.75" customHeight="1">
      <c r="B102" s="72" t="str">
        <f>Data!A31</f>
        <v>Roman Catholic Archdiocese of Milwaukee</v>
      </c>
      <c r="C102" s="55" t="str">
        <f>Data!B31</f>
        <v>Archbishop Grob</v>
      </c>
      <c r="D102" s="72" t="str">
        <f>Data!A37</f>
        <v>UCC-WI, Southern Region</v>
      </c>
      <c r="E102" s="55" t="str">
        <f>Data!B37</f>
        <v>Rev. Rachel Bauman</v>
      </c>
      <c r="F102" s="74">
        <v>6</v>
      </c>
      <c r="G102" s="72" t="s">
        <v>326</v>
      </c>
    </row>
    <row r="103" spans="2:7" ht="15.75" customHeight="1">
      <c r="B103" s="70" t="str">
        <f>Data!A33</f>
        <v>Roman Catholic Diocese of LaCrosse</v>
      </c>
      <c r="C103" s="54" t="str">
        <f>Data!B33</f>
        <v>Bishop Battersby</v>
      </c>
      <c r="D103" s="70" t="str">
        <f>Data!A41</f>
        <v>UMC - WI, South West District</v>
      </c>
      <c r="E103" s="54" t="str">
        <f>Data!B41</f>
        <v>Rev. In Sun Lee</v>
      </c>
      <c r="F103" s="74">
        <v>6</v>
      </c>
      <c r="G103" s="70" t="s">
        <v>327</v>
      </c>
    </row>
    <row r="104" spans="2:7" ht="15.75" customHeight="1">
      <c r="B104" s="72" t="str">
        <f>Data!A2</f>
        <v>African Methodist Episcopal Church, 4th District</v>
      </c>
      <c r="C104" s="55" t="str">
        <f>Data!B2</f>
        <v>Presiding Elder James Miller</v>
      </c>
      <c r="D104" s="72" t="str">
        <f>Data!A12</f>
        <v>Community of Christ Headwaters Mission Center</v>
      </c>
      <c r="E104" s="55" t="str">
        <f>Data!B12</f>
        <v>Mr. Matt Davisdon</v>
      </c>
      <c r="F104" s="74">
        <v>5</v>
      </c>
      <c r="G104" s="72" t="s">
        <v>328</v>
      </c>
    </row>
    <row r="105" spans="2:7" ht="15.75" customHeight="1">
      <c r="B105" s="70" t="str">
        <f>Data!A2</f>
        <v>African Methodist Episcopal Church, 4th District</v>
      </c>
      <c r="C105" s="54" t="str">
        <f>Data!B2</f>
        <v>Presiding Elder James Miller</v>
      </c>
      <c r="D105" s="70" t="str">
        <f>Data!A35</f>
        <v>UCC-WI, Eastern Region</v>
      </c>
      <c r="E105" s="54" t="str">
        <f>Data!B35</f>
        <v>Rev. Jane Anderson</v>
      </c>
      <c r="F105" s="74">
        <v>5</v>
      </c>
      <c r="G105" s="70" t="s">
        <v>329</v>
      </c>
    </row>
    <row r="106" spans="2:7" ht="15.75" customHeight="1">
      <c r="B106" s="72" t="str">
        <f>Data!A3</f>
        <v>American Baptist Churches of Wisconsin</v>
      </c>
      <c r="C106" s="55" t="str">
        <f>Data!B3</f>
        <v>Rev. Mindi Welton-Mitchell</v>
      </c>
      <c r="D106" s="72" t="str">
        <f>Data!A12</f>
        <v>Community of Christ Headwaters Mission Center</v>
      </c>
      <c r="E106" s="55" t="str">
        <f>Data!B12</f>
        <v>Mr. Matt Davisdon</v>
      </c>
      <c r="F106" s="74">
        <v>5</v>
      </c>
      <c r="G106" s="72" t="s">
        <v>328</v>
      </c>
    </row>
    <row r="107" spans="2:7" ht="15.75" customHeight="1">
      <c r="B107" s="70" t="str">
        <f>Data!A3</f>
        <v>American Baptist Churches of Wisconsin</v>
      </c>
      <c r="C107" s="54" t="str">
        <f>Data!B3</f>
        <v>Rev. Mindi Welton-Mitchell</v>
      </c>
      <c r="D107" s="70" t="str">
        <f>Data!A35</f>
        <v>UCC-WI, Eastern Region</v>
      </c>
      <c r="E107" s="54" t="str">
        <f>Data!B35</f>
        <v>Rev. Jane Anderson</v>
      </c>
      <c r="F107" s="74">
        <v>5</v>
      </c>
      <c r="G107" s="70" t="s">
        <v>329</v>
      </c>
    </row>
    <row r="108" spans="2:7" ht="15.75" customHeight="1">
      <c r="B108" s="72" t="str">
        <f>Data!A12</f>
        <v>Community of Christ Headwaters Mission Center</v>
      </c>
      <c r="C108" s="55" t="str">
        <f>Data!B12</f>
        <v>Mr. Matt Davisdon</v>
      </c>
      <c r="D108" s="72" t="str">
        <f>Data!A21</f>
        <v>Greek Orthodox Church, Diocese of Chicago</v>
      </c>
      <c r="E108" s="55" t="str">
        <f>Data!B21</f>
        <v>Father Cyprian Sas</v>
      </c>
      <c r="F108" s="74">
        <v>5</v>
      </c>
      <c r="G108" s="72" t="s">
        <v>328</v>
      </c>
    </row>
    <row r="109" spans="2:7" ht="15.75" customHeight="1">
      <c r="B109" s="70" t="str">
        <f>Data!A12</f>
        <v>Community of Christ Headwaters Mission Center</v>
      </c>
      <c r="C109" s="54" t="str">
        <f>Data!B12</f>
        <v>Mr. Matt Davisdon</v>
      </c>
      <c r="D109" s="70" t="str">
        <f>Data!A23</f>
        <v>Mennonite Church USA, Central District Conference</v>
      </c>
      <c r="E109" s="54" t="str">
        <f>Data!B23</f>
        <v>Rev. Valerie Showalter at MMC</v>
      </c>
      <c r="F109" s="74">
        <v>5</v>
      </c>
      <c r="G109" s="70" t="s">
        <v>328</v>
      </c>
    </row>
    <row r="110" spans="2:7" ht="15.75" customHeight="1">
      <c r="B110" s="72" t="str">
        <f>Data!A12</f>
        <v>Community of Christ Headwaters Mission Center</v>
      </c>
      <c r="C110" s="55" t="str">
        <f>Data!B12</f>
        <v>Mr. Matt Davisdon</v>
      </c>
      <c r="D110" s="72" t="str">
        <f>Data!A25</f>
        <v>Moravian Church, Western District</v>
      </c>
      <c r="E110" s="55" t="str">
        <f>Data!B25</f>
        <v>Jason Andersen</v>
      </c>
      <c r="F110" s="74">
        <v>5</v>
      </c>
      <c r="G110" s="72" t="s">
        <v>328</v>
      </c>
    </row>
    <row r="111" spans="2:7" ht="15.75" customHeight="1">
      <c r="B111" s="70" t="str">
        <f>Data!A12</f>
        <v>Community of Christ Headwaters Mission Center</v>
      </c>
      <c r="C111" s="54" t="str">
        <f>Data!B12</f>
        <v>Mr. Matt Davisdon</v>
      </c>
      <c r="D111" s="70" t="str">
        <f>Data!A26</f>
        <v>Orthodox Church in America, Diocese of the Midwest</v>
      </c>
      <c r="E111" s="54" t="str">
        <f>Data!B26</f>
        <v>Fr. Elijah Mueller</v>
      </c>
      <c r="F111" s="74">
        <v>5</v>
      </c>
      <c r="G111" s="70" t="s">
        <v>328</v>
      </c>
    </row>
    <row r="112" spans="2:7" ht="15.75" customHeight="1">
      <c r="B112" s="72" t="str">
        <f>Data!A16</f>
        <v>ELCA Greater Milwaukee Synod</v>
      </c>
      <c r="C112" s="55" t="str">
        <f>Data!B16</f>
        <v>Bishop Paul Erickson</v>
      </c>
      <c r="D112" s="72" t="str">
        <f>Data!A28</f>
        <v>PC(USA), Milwaukee Presbytery</v>
      </c>
      <c r="E112" s="55" t="str">
        <f>Data!B28</f>
        <v>Rev. Christian Boyd, Ann Gibbs</v>
      </c>
      <c r="F112" s="74">
        <v>5</v>
      </c>
      <c r="G112" s="72" t="s">
        <v>254</v>
      </c>
    </row>
    <row r="113" spans="2:7" ht="15.75" customHeight="1">
      <c r="B113" s="70" t="str">
        <f>Data!A16</f>
        <v>ELCA Greater Milwaukee Synod</v>
      </c>
      <c r="C113" s="54" t="str">
        <f>Data!B16</f>
        <v>Bishop Paul Erickson</v>
      </c>
      <c r="D113" s="70" t="str">
        <f>Data!A31</f>
        <v>Roman Catholic Archdiocese of Milwaukee</v>
      </c>
      <c r="E113" s="54" t="str">
        <f>Data!B31</f>
        <v>Archbishop Grob</v>
      </c>
      <c r="F113" s="74">
        <v>5</v>
      </c>
      <c r="G113" s="70" t="s">
        <v>254</v>
      </c>
    </row>
    <row r="114" spans="2:7" ht="15.75" customHeight="1">
      <c r="B114" s="72" t="str">
        <f>Data!A23</f>
        <v>Mennonite Church USA, Central District Conference</v>
      </c>
      <c r="C114" s="55" t="str">
        <f>Data!B23</f>
        <v>Rev. Valerie Showalter at MMC</v>
      </c>
      <c r="D114" s="72" t="str">
        <f>Data!A35</f>
        <v>UCC-WI, Eastern Region</v>
      </c>
      <c r="E114" s="55" t="str">
        <f>Data!B35</f>
        <v>Rev. Jane Anderson</v>
      </c>
      <c r="F114" s="74">
        <v>5</v>
      </c>
      <c r="G114" s="72" t="s">
        <v>329</v>
      </c>
    </row>
    <row r="115" spans="2:7" ht="15.75" customHeight="1">
      <c r="B115" s="70" t="str">
        <f>Data!A25</f>
        <v>Moravian Church, Western District</v>
      </c>
      <c r="C115" s="54" t="str">
        <f>Data!B25</f>
        <v>Jason Andersen</v>
      </c>
      <c r="D115" s="70" t="str">
        <f>Data!A35</f>
        <v>UCC-WI, Eastern Region</v>
      </c>
      <c r="E115" s="54" t="str">
        <f>Data!B35</f>
        <v>Rev. Jane Anderson</v>
      </c>
      <c r="F115" s="74">
        <v>5</v>
      </c>
      <c r="G115" s="70" t="s">
        <v>329</v>
      </c>
    </row>
    <row r="116" spans="2:7" ht="15.75" customHeight="1">
      <c r="B116" s="72" t="str">
        <f>Data!A26</f>
        <v>Orthodox Church in America, Diocese of the Midwest</v>
      </c>
      <c r="C116" s="55" t="str">
        <f>Data!B26</f>
        <v>Fr. Elijah Mueller</v>
      </c>
      <c r="D116" s="72" t="str">
        <f>Data!A35</f>
        <v>UCC-WI, Eastern Region</v>
      </c>
      <c r="E116" s="55" t="str">
        <f>Data!B35</f>
        <v>Rev. Jane Anderson</v>
      </c>
      <c r="F116" s="74">
        <v>5</v>
      </c>
      <c r="G116" s="72" t="s">
        <v>329</v>
      </c>
    </row>
    <row r="117" spans="2:7" ht="15.75" customHeight="1">
      <c r="B117" s="70" t="str">
        <f>Data!A27</f>
        <v>PC(USA), John Knox Presbytery</v>
      </c>
      <c r="C117" s="54" t="str">
        <f>Data!B27</f>
        <v>Rev. Devon Reynolds</v>
      </c>
      <c r="D117" s="70" t="str">
        <f>Data!A36</f>
        <v>UCC-WI, Northern Region</v>
      </c>
      <c r="E117" s="54" t="str">
        <f>Data!B36</f>
        <v>vacant</v>
      </c>
      <c r="F117" s="74">
        <v>5</v>
      </c>
      <c r="G117" s="70" t="s">
        <v>330</v>
      </c>
    </row>
    <row r="118" spans="2:7" ht="15.75" customHeight="1">
      <c r="B118" s="72" t="str">
        <f>Data!A33</f>
        <v>Roman Catholic Diocese of LaCrosse</v>
      </c>
      <c r="C118" s="55" t="str">
        <f>Data!B33</f>
        <v>Bishop Battersby</v>
      </c>
      <c r="D118" s="72" t="str">
        <f>Data!A37</f>
        <v>UCC-WI, Southern Region</v>
      </c>
      <c r="E118" s="55" t="str">
        <f>Data!B37</f>
        <v>Rev. Rachel Bauman</v>
      </c>
      <c r="F118" s="74">
        <v>5</v>
      </c>
      <c r="G118" s="72" t="s">
        <v>331</v>
      </c>
    </row>
    <row r="119" spans="2:7" ht="15.75" customHeight="1">
      <c r="B119" s="70" t="str">
        <f>Data!A2</f>
        <v>African Methodist Episcopal Church, 4th District</v>
      </c>
      <c r="C119" s="54" t="str">
        <f>Data!B2</f>
        <v>Presiding Elder James Miller</v>
      </c>
      <c r="D119" s="70" t="str">
        <f>Data!A16</f>
        <v>ELCA Greater Milwaukee Synod</v>
      </c>
      <c r="E119" s="54" t="str">
        <f>Data!B16</f>
        <v>Bishop Paul Erickson</v>
      </c>
      <c r="F119" s="75">
        <v>4</v>
      </c>
      <c r="G119" s="70" t="s">
        <v>332</v>
      </c>
    </row>
    <row r="120" spans="2:7" ht="15.75" customHeight="1">
      <c r="B120" s="72" t="str">
        <f>Data!A3</f>
        <v>American Baptist Churches of Wisconsin</v>
      </c>
      <c r="C120" s="55" t="str">
        <f>Data!B3</f>
        <v>Rev. Mindi Welton-Mitchell</v>
      </c>
      <c r="D120" s="72" t="str">
        <f>Data!A16</f>
        <v>ELCA Greater Milwaukee Synod</v>
      </c>
      <c r="E120" s="55" t="str">
        <f>Data!B16</f>
        <v>Bishop Paul Erickson</v>
      </c>
      <c r="F120" s="76">
        <v>4</v>
      </c>
      <c r="G120" s="72" t="s">
        <v>332</v>
      </c>
    </row>
    <row r="121" spans="2:7" ht="15.75" customHeight="1">
      <c r="B121" s="70" t="str">
        <f>Data!A12</f>
        <v>Community of Christ Headwaters Mission Center</v>
      </c>
      <c r="C121" s="54" t="str">
        <f>Data!B12</f>
        <v>Mr. Matt Davisdon</v>
      </c>
      <c r="D121" s="70" t="str">
        <f>Data!A37</f>
        <v>UCC-WI, Southern Region</v>
      </c>
      <c r="E121" s="54" t="str">
        <f>Data!B37</f>
        <v>Rev. Rachel Bauman</v>
      </c>
      <c r="F121" s="75">
        <v>4</v>
      </c>
      <c r="G121" s="70" t="s">
        <v>333</v>
      </c>
    </row>
    <row r="122" spans="2:7" ht="15.75" customHeight="1">
      <c r="B122" s="72" t="str">
        <f>Data!A12</f>
        <v>Community of Christ Headwaters Mission Center</v>
      </c>
      <c r="C122" s="55" t="str">
        <f>Data!B12</f>
        <v>Mr. Matt Davisdon</v>
      </c>
      <c r="D122" s="72" t="str">
        <f>Data!A41</f>
        <v>UMC - WI, South West District</v>
      </c>
      <c r="E122" s="55" t="str">
        <f>Data!B41</f>
        <v>Rev. In Sun Lee</v>
      </c>
      <c r="F122" s="76">
        <v>4</v>
      </c>
      <c r="G122" s="72" t="s">
        <v>333</v>
      </c>
    </row>
    <row r="123" spans="2:7" ht="15.75" customHeight="1">
      <c r="B123" s="70" t="str">
        <f>Data!A16</f>
        <v>ELCA Greater Milwaukee Synod</v>
      </c>
      <c r="C123" s="54" t="str">
        <f>Data!B16</f>
        <v>Bishop Paul Erickson</v>
      </c>
      <c r="D123" s="70" t="str">
        <f>Data!A23</f>
        <v>Mennonite Church USA, Central District Conference</v>
      </c>
      <c r="E123" s="54" t="str">
        <f>Data!B23</f>
        <v>Rev. Valerie Showalter at MMC</v>
      </c>
      <c r="F123" s="75">
        <v>4</v>
      </c>
      <c r="G123" s="70" t="s">
        <v>332</v>
      </c>
    </row>
    <row r="124" spans="2:7" ht="15.75" customHeight="1">
      <c r="B124" s="72" t="str">
        <f>Data!A16</f>
        <v>ELCA Greater Milwaukee Synod</v>
      </c>
      <c r="C124" s="55" t="str">
        <f>Data!B16</f>
        <v>Bishop Paul Erickson</v>
      </c>
      <c r="D124" s="72" t="str">
        <f>Data!A25</f>
        <v>Moravian Church, Western District</v>
      </c>
      <c r="E124" s="55" t="str">
        <f>Data!B25</f>
        <v>Jason Andersen</v>
      </c>
      <c r="F124" s="76">
        <v>4</v>
      </c>
      <c r="G124" s="72" t="s">
        <v>332</v>
      </c>
    </row>
    <row r="125" spans="2:7" ht="15.75" customHeight="1">
      <c r="B125" s="70" t="str">
        <f>Data!A16</f>
        <v>ELCA Greater Milwaukee Synod</v>
      </c>
      <c r="C125" s="54" t="str">
        <f>Data!B16</f>
        <v>Bishop Paul Erickson</v>
      </c>
      <c r="D125" s="70" t="str">
        <f>Data!A26</f>
        <v>Orthodox Church in America, Diocese of the Midwest</v>
      </c>
      <c r="E125" s="54" t="str">
        <f>Data!B26</f>
        <v>Fr. Elijah Mueller</v>
      </c>
      <c r="F125" s="75">
        <v>4</v>
      </c>
      <c r="G125" s="70" t="s">
        <v>332</v>
      </c>
    </row>
    <row r="126" spans="2:7" ht="15.75" customHeight="1">
      <c r="B126" s="72" t="str">
        <f>Data!A16</f>
        <v>ELCA Greater Milwaukee Synod</v>
      </c>
      <c r="C126" s="55" t="str">
        <f>Data!B16</f>
        <v>Bishop Paul Erickson</v>
      </c>
      <c r="D126" s="72" t="str">
        <f>Data!A35</f>
        <v>UCC-WI, Eastern Region</v>
      </c>
      <c r="E126" s="55" t="str">
        <f>Data!B35</f>
        <v>Rev. Jane Anderson</v>
      </c>
      <c r="F126" s="76">
        <v>4</v>
      </c>
      <c r="G126" s="72" t="s">
        <v>334</v>
      </c>
    </row>
    <row r="127" spans="2:7" ht="15.75" customHeight="1">
      <c r="B127" s="70" t="str">
        <f>Data!A16</f>
        <v>ELCA Greater Milwaukee Synod</v>
      </c>
      <c r="C127" s="54" t="str">
        <f>Data!B16</f>
        <v>Bishop Paul Erickson</v>
      </c>
      <c r="D127" s="70" t="str">
        <f>Data!A40</f>
        <v>UMC - WI, South East District</v>
      </c>
      <c r="E127" s="54" t="str">
        <f>Data!B40</f>
        <v>Rev. Amanda Stein</v>
      </c>
      <c r="F127" s="75">
        <v>4</v>
      </c>
      <c r="G127" s="70" t="s">
        <v>335</v>
      </c>
    </row>
    <row r="128" spans="2:7" ht="15.75" customHeight="1">
      <c r="B128" s="72" t="str">
        <f>Data!A17</f>
        <v>ELCA LaCrosse Area Synod</v>
      </c>
      <c r="C128" s="55" t="str">
        <f>Data!B17</f>
        <v>Bishop Felix Malpica</v>
      </c>
      <c r="D128" s="72" t="str">
        <f>Data!A37</f>
        <v>UCC-WI, Southern Region</v>
      </c>
      <c r="E128" s="55" t="str">
        <f>Data!B37</f>
        <v>Rev. Rachel Bauman</v>
      </c>
      <c r="F128" s="76">
        <v>4</v>
      </c>
      <c r="G128" s="72" t="s">
        <v>336</v>
      </c>
    </row>
    <row r="129" spans="2:7" ht="15.75" customHeight="1">
      <c r="B129" s="70" t="str">
        <f>Data!A20</f>
        <v>ELCA South-Central Synod</v>
      </c>
      <c r="C129" s="54" t="str">
        <f>Data!B20</f>
        <v>Bishop Joy Mortensen-Weibe</v>
      </c>
      <c r="D129" s="70" t="str">
        <f>Data!A28</f>
        <v>PC(USA), Milwaukee Presbytery</v>
      </c>
      <c r="E129" s="54" t="str">
        <f>Data!B28</f>
        <v>Rev. Christian Boyd, Ann Gibbs</v>
      </c>
      <c r="F129" s="75">
        <v>4</v>
      </c>
      <c r="G129" s="70" t="s">
        <v>337</v>
      </c>
    </row>
    <row r="130" spans="2:7" ht="15.75" customHeight="1">
      <c r="B130" s="72" t="str">
        <f>Data!A21</f>
        <v>Greek Orthodox Church, Diocese of Chicago</v>
      </c>
      <c r="C130" s="55" t="str">
        <f>Data!B21</f>
        <v>Father Cyprian Sas</v>
      </c>
      <c r="D130" s="72" t="str">
        <f>Data!A35</f>
        <v>UCC-WI, Eastern Region</v>
      </c>
      <c r="E130" s="55" t="str">
        <f>Data!B35</f>
        <v>Rev. Jane Anderson</v>
      </c>
      <c r="F130" s="76">
        <v>4</v>
      </c>
      <c r="G130" s="72" t="s">
        <v>338</v>
      </c>
    </row>
    <row r="131" spans="2:7" ht="15.75" customHeight="1">
      <c r="B131" s="70" t="str">
        <f>Data!A27</f>
        <v>PC(USA), John Knox Presbytery</v>
      </c>
      <c r="C131" s="54" t="str">
        <f>Data!B27</f>
        <v>Rev. Devon Reynolds</v>
      </c>
      <c r="D131" s="70" t="str">
        <f>Data!A38</f>
        <v>UMC - WI, North East District</v>
      </c>
      <c r="E131" s="54" t="str">
        <f>Data!B38</f>
        <v>Rev. M. Park Hunter</v>
      </c>
      <c r="F131" s="75">
        <v>4</v>
      </c>
      <c r="G131" s="70" t="s">
        <v>339</v>
      </c>
    </row>
    <row r="132" spans="2:7" ht="15.75" customHeight="1">
      <c r="B132" s="72" t="str">
        <f>Data!A27</f>
        <v>PC(USA), John Knox Presbytery</v>
      </c>
      <c r="C132" s="55" t="str">
        <f>Data!B27</f>
        <v>Rev. Devon Reynolds</v>
      </c>
      <c r="D132" s="72" t="str">
        <f>Data!A38</f>
        <v>UMC - WI, North East District</v>
      </c>
      <c r="E132" s="55" t="str">
        <f>Data!B38</f>
        <v>Rev. M. Park Hunter</v>
      </c>
      <c r="F132" s="76">
        <v>4</v>
      </c>
      <c r="G132" s="72" t="s">
        <v>339</v>
      </c>
    </row>
    <row r="133" spans="2:7" ht="15.75" customHeight="1">
      <c r="B133" s="70" t="str">
        <f>Data!A32</f>
        <v>Roman Catholic Diocese of Green Bay</v>
      </c>
      <c r="C133" s="54" t="str">
        <f>Data!B32</f>
        <v>Bishop Ricken</v>
      </c>
      <c r="D133" s="70" t="str">
        <f>Data!A36</f>
        <v>UCC-WI, Northern Region</v>
      </c>
      <c r="E133" s="54" t="str">
        <f>Data!B36</f>
        <v>vacant</v>
      </c>
      <c r="F133" s="75">
        <v>4</v>
      </c>
      <c r="G133" s="70" t="s">
        <v>340</v>
      </c>
    </row>
    <row r="134" spans="2:7" ht="15.75" customHeight="1">
      <c r="B134" s="72" t="str">
        <f>Data!A2</f>
        <v>African Methodist Episcopal Church, 4th District</v>
      </c>
      <c r="C134" s="55" t="str">
        <f>Data!B2</f>
        <v>Presiding Elder James Miller</v>
      </c>
      <c r="D134" s="72" t="str">
        <f>Data!A4</f>
        <v>Armenian Orthodox Church, Eastern Diocese</v>
      </c>
      <c r="E134" s="55" t="str">
        <f>Data!B4</f>
        <v>Father Yeprem Kelegian</v>
      </c>
      <c r="F134" s="76">
        <v>3</v>
      </c>
      <c r="G134" s="72" t="s">
        <v>247</v>
      </c>
    </row>
    <row r="135" spans="2:7" ht="15.75" customHeight="1">
      <c r="B135" s="70" t="str">
        <f>Data!A2</f>
        <v>African Methodist Episcopal Church, 4th District</v>
      </c>
      <c r="C135" s="54" t="str">
        <f>Data!B2</f>
        <v>Presiding Elder James Miller</v>
      </c>
      <c r="D135" s="70" t="str">
        <f>Data!A9</f>
        <v>COGIC, Wisconsin First Jurisdiction</v>
      </c>
      <c r="E135" s="54" t="str">
        <f>Data!B9</f>
        <v>Bishop Darrell Hines, Sr.</v>
      </c>
      <c r="F135" s="75">
        <v>3</v>
      </c>
      <c r="G135" s="70" t="s">
        <v>250</v>
      </c>
    </row>
    <row r="136" spans="2:7" ht="15.75" customHeight="1">
      <c r="B136" s="72" t="str">
        <f>Data!A2</f>
        <v>African Methodist Episcopal Church, 4th District</v>
      </c>
      <c r="C136" s="55" t="str">
        <f>Data!B2</f>
        <v>Presiding Elder James Miller</v>
      </c>
      <c r="D136" s="72" t="str">
        <f>Data!A24</f>
        <v>Metropolitan Community Churches</v>
      </c>
      <c r="E136" s="55" t="str">
        <f>Data!B24</f>
        <v>Lay Led</v>
      </c>
      <c r="F136" s="76">
        <v>3</v>
      </c>
      <c r="G136" s="72" t="s">
        <v>341</v>
      </c>
    </row>
    <row r="137" spans="2:7" ht="15.75" customHeight="1">
      <c r="B137" s="70" t="str">
        <f>Data!A3</f>
        <v>American Baptist Churches of Wisconsin</v>
      </c>
      <c r="C137" s="54" t="str">
        <f>Data!B3</f>
        <v>Rev. Mindi Welton-Mitchell</v>
      </c>
      <c r="D137" s="70" t="str">
        <f>Data!A4</f>
        <v>Armenian Orthodox Church, Eastern Diocese</v>
      </c>
      <c r="E137" s="54" t="str">
        <f>Data!B4</f>
        <v>Father Yeprem Kelegian</v>
      </c>
      <c r="F137" s="75">
        <v>3</v>
      </c>
      <c r="G137" s="70" t="s">
        <v>247</v>
      </c>
    </row>
    <row r="138" spans="2:7" ht="15.75" customHeight="1">
      <c r="B138" s="72" t="str">
        <f>Data!A3</f>
        <v>American Baptist Churches of Wisconsin</v>
      </c>
      <c r="C138" s="55" t="str">
        <f>Data!B3</f>
        <v>Rev. Mindi Welton-Mitchell</v>
      </c>
      <c r="D138" s="72" t="str">
        <f>Data!A9</f>
        <v>COGIC, Wisconsin First Jurisdiction</v>
      </c>
      <c r="E138" s="55" t="str">
        <f>Data!B9</f>
        <v>Bishop Darrell Hines, Sr.</v>
      </c>
      <c r="F138" s="76">
        <v>3</v>
      </c>
      <c r="G138" s="72" t="s">
        <v>250</v>
      </c>
    </row>
    <row r="139" spans="2:7" ht="15.75" customHeight="1">
      <c r="B139" s="70" t="str">
        <f>Data!A3</f>
        <v>American Baptist Churches of Wisconsin</v>
      </c>
      <c r="C139" s="54" t="str">
        <f>Data!B3</f>
        <v>Rev. Mindi Welton-Mitchell</v>
      </c>
      <c r="D139" s="70" t="str">
        <f>Data!A24</f>
        <v>Metropolitan Community Churches</v>
      </c>
      <c r="E139" s="54" t="str">
        <f>Data!B24</f>
        <v>Lay Led</v>
      </c>
      <c r="F139" s="75">
        <v>3</v>
      </c>
      <c r="G139" s="70" t="s">
        <v>341</v>
      </c>
    </row>
    <row r="140" spans="2:7" ht="15.75" customHeight="1">
      <c r="B140" s="72" t="str">
        <f>Data!A4</f>
        <v>Armenian Orthodox Church, Eastern Diocese</v>
      </c>
      <c r="C140" s="55" t="str">
        <f>Data!B4</f>
        <v>Father Yeprem Kelegian</v>
      </c>
      <c r="D140" s="72" t="str">
        <f>Data!A21</f>
        <v>Greek Orthodox Church, Diocese of Chicago</v>
      </c>
      <c r="E140" s="55" t="str">
        <f>Data!B21</f>
        <v>Father Cyprian Sas</v>
      </c>
      <c r="F140" s="76">
        <v>3</v>
      </c>
      <c r="G140" s="72" t="s">
        <v>247</v>
      </c>
    </row>
    <row r="141" spans="2:7" ht="15.75" customHeight="1">
      <c r="B141" s="70" t="str">
        <f>Data!A4</f>
        <v>Armenian Orthodox Church, Eastern Diocese</v>
      </c>
      <c r="C141" s="54" t="str">
        <f>Data!B4</f>
        <v>Father Yeprem Kelegian</v>
      </c>
      <c r="D141" s="70" t="str">
        <f>Data!A23</f>
        <v>Mennonite Church USA, Central District Conference</v>
      </c>
      <c r="E141" s="54" t="str">
        <f>Data!B23</f>
        <v>Rev. Valerie Showalter at MMC</v>
      </c>
      <c r="F141" s="75">
        <v>3</v>
      </c>
      <c r="G141" s="70" t="s">
        <v>247</v>
      </c>
    </row>
    <row r="142" spans="2:7" ht="15.75" customHeight="1">
      <c r="B142" s="72" t="str">
        <f>Data!A4</f>
        <v>Armenian Orthodox Church, Eastern Diocese</v>
      </c>
      <c r="C142" s="55" t="str">
        <f>Data!B4</f>
        <v>Father Yeprem Kelegian</v>
      </c>
      <c r="D142" s="72" t="str">
        <f>Data!A25</f>
        <v>Moravian Church, Western District</v>
      </c>
      <c r="E142" s="55" t="str">
        <f>Data!B25</f>
        <v>Jason Andersen</v>
      </c>
      <c r="F142" s="76">
        <v>3</v>
      </c>
      <c r="G142" s="72" t="s">
        <v>247</v>
      </c>
    </row>
    <row r="143" spans="2:7" ht="15.75" customHeight="1">
      <c r="B143" s="70" t="str">
        <f>Data!A4</f>
        <v>Armenian Orthodox Church, Eastern Diocese</v>
      </c>
      <c r="C143" s="54" t="str">
        <f>Data!B4</f>
        <v>Father Yeprem Kelegian</v>
      </c>
      <c r="D143" s="70" t="str">
        <f>Data!A26</f>
        <v>Orthodox Church in America, Diocese of the Midwest</v>
      </c>
      <c r="E143" s="54" t="str">
        <f>Data!B26</f>
        <v>Fr. Elijah Mueller</v>
      </c>
      <c r="F143" s="75">
        <v>3</v>
      </c>
      <c r="G143" s="70" t="s">
        <v>247</v>
      </c>
    </row>
    <row r="144" spans="2:7" ht="15.75" customHeight="1">
      <c r="B144" s="72" t="str">
        <f>Data!A9</f>
        <v>COGIC, Wisconsin First Jurisdiction</v>
      </c>
      <c r="C144" s="55" t="str">
        <f>Data!B9</f>
        <v>Bishop Darrell Hines, Sr.</v>
      </c>
      <c r="D144" s="72" t="str">
        <f>Data!A21</f>
        <v>Greek Orthodox Church, Diocese of Chicago</v>
      </c>
      <c r="E144" s="55" t="str">
        <f>Data!B21</f>
        <v>Father Cyprian Sas</v>
      </c>
      <c r="F144" s="76">
        <v>3</v>
      </c>
      <c r="G144" s="72" t="s">
        <v>250</v>
      </c>
    </row>
    <row r="145" spans="2:7" ht="15.75" customHeight="1">
      <c r="B145" s="70" t="str">
        <f>Data!A9</f>
        <v>COGIC, Wisconsin First Jurisdiction</v>
      </c>
      <c r="C145" s="54" t="str">
        <f>Data!B9</f>
        <v>Bishop Darrell Hines, Sr.</v>
      </c>
      <c r="D145" s="70" t="str">
        <f>Data!A23</f>
        <v>Mennonite Church USA, Central District Conference</v>
      </c>
      <c r="E145" s="54" t="str">
        <f>Data!B23</f>
        <v>Rev. Valerie Showalter at MMC</v>
      </c>
      <c r="F145" s="75">
        <v>3</v>
      </c>
      <c r="G145" s="70" t="s">
        <v>250</v>
      </c>
    </row>
    <row r="146" spans="2:7" ht="15.75" customHeight="1">
      <c r="B146" s="72" t="str">
        <f>Data!A9</f>
        <v>COGIC, Wisconsin First Jurisdiction</v>
      </c>
      <c r="C146" s="55" t="str">
        <f>Data!B9</f>
        <v>Bishop Darrell Hines, Sr.</v>
      </c>
      <c r="D146" s="72" t="str">
        <f>Data!A25</f>
        <v>Moravian Church, Western District</v>
      </c>
      <c r="E146" s="55" t="str">
        <f>Data!B25</f>
        <v>Jason Andersen</v>
      </c>
      <c r="F146" s="76">
        <v>3</v>
      </c>
      <c r="G146" s="72" t="s">
        <v>250</v>
      </c>
    </row>
    <row r="147" spans="2:7" ht="15.75" customHeight="1">
      <c r="B147" s="70" t="str">
        <f>Data!A9</f>
        <v>COGIC, Wisconsin First Jurisdiction</v>
      </c>
      <c r="C147" s="54" t="str">
        <f>Data!B9</f>
        <v>Bishop Darrell Hines, Sr.</v>
      </c>
      <c r="D147" s="70" t="str">
        <f>Data!A26</f>
        <v>Orthodox Church in America, Diocese of the Midwest</v>
      </c>
      <c r="E147" s="54" t="str">
        <f>Data!B26</f>
        <v>Fr. Elijah Mueller</v>
      </c>
      <c r="F147" s="75">
        <v>3</v>
      </c>
      <c r="G147" s="70" t="s">
        <v>250</v>
      </c>
    </row>
    <row r="148" spans="2:7" ht="15.75" customHeight="1">
      <c r="B148" s="72" t="str">
        <f>Data!A12</f>
        <v>Community of Christ Headwaters Mission Center</v>
      </c>
      <c r="C148" s="55" t="str">
        <f>Data!B12</f>
        <v>Mr. Matt Davisdon</v>
      </c>
      <c r="D148" s="72" t="str">
        <f>Data!A20</f>
        <v>ELCA South-Central Synod</v>
      </c>
      <c r="E148" s="55" t="str">
        <f>Data!B20</f>
        <v>Bishop Joy Mortensen-Weibe</v>
      </c>
      <c r="F148" s="76">
        <v>3</v>
      </c>
      <c r="G148" s="72" t="s">
        <v>342</v>
      </c>
    </row>
    <row r="149" spans="2:7" ht="15.75" customHeight="1">
      <c r="B149" s="70" t="str">
        <f>Data!A12</f>
        <v>Community of Christ Headwaters Mission Center</v>
      </c>
      <c r="C149" s="54" t="str">
        <f>Data!B12</f>
        <v>Mr. Matt Davisdon</v>
      </c>
      <c r="D149" s="70" t="str">
        <f>Data!A27</f>
        <v>PC(USA), John Knox Presbytery</v>
      </c>
      <c r="E149" s="54" t="str">
        <f>Data!B27</f>
        <v>Rev. Devon Reynolds</v>
      </c>
      <c r="F149" s="75">
        <v>3</v>
      </c>
      <c r="G149" s="70" t="s">
        <v>343</v>
      </c>
    </row>
    <row r="150" spans="2:7" ht="15.75" customHeight="1">
      <c r="B150" s="72" t="str">
        <f>Data!A15</f>
        <v>ELCA East-Central Synod</v>
      </c>
      <c r="C150" s="55" t="str">
        <f>Data!B15</f>
        <v>Bishop Anne Edison Albright</v>
      </c>
      <c r="D150" s="72" t="str">
        <f>Data!A33</f>
        <v>Roman Catholic Diocese of LaCrosse</v>
      </c>
      <c r="E150" s="55" t="str">
        <f>Data!B33</f>
        <v>Bishop Battersby</v>
      </c>
      <c r="F150" s="76">
        <v>3</v>
      </c>
      <c r="G150" s="72" t="s">
        <v>344</v>
      </c>
    </row>
    <row r="151" spans="2:7" ht="15.75" customHeight="1">
      <c r="B151" s="70" t="str">
        <f>Data!A16</f>
        <v>ELCA Greater Milwaukee Synod</v>
      </c>
      <c r="C151" s="54" t="str">
        <f>Data!B16</f>
        <v>Bishop Paul Erickson</v>
      </c>
      <c r="D151" s="70" t="str">
        <f>Data!A21</f>
        <v>Greek Orthodox Church, Diocese of Chicago</v>
      </c>
      <c r="E151" s="54" t="str">
        <f>Data!B21</f>
        <v>Father Cyprian Sas</v>
      </c>
      <c r="F151" s="75">
        <v>3</v>
      </c>
      <c r="G151" s="70" t="s">
        <v>345</v>
      </c>
    </row>
    <row r="152" spans="2:7" ht="15.75" customHeight="1">
      <c r="B152" s="72" t="str">
        <f>Data!A17</f>
        <v>ELCA LaCrosse Area Synod</v>
      </c>
      <c r="C152" s="55" t="str">
        <f>Data!B17</f>
        <v>Bishop Felix Malpica</v>
      </c>
      <c r="D152" s="72" t="str">
        <f>Data!A36</f>
        <v>UCC-WI, Northern Region</v>
      </c>
      <c r="E152" s="55" t="str">
        <f>Data!B36</f>
        <v>vacant</v>
      </c>
      <c r="F152" s="76">
        <v>3</v>
      </c>
      <c r="G152" s="72" t="s">
        <v>346</v>
      </c>
    </row>
    <row r="153" spans="2:7" ht="15.75" customHeight="1">
      <c r="B153" s="70" t="str">
        <f>Data!A17</f>
        <v>ELCA LaCrosse Area Synod</v>
      </c>
      <c r="C153" s="54" t="str">
        <f>Data!B17</f>
        <v>Bishop Felix Malpica</v>
      </c>
      <c r="D153" s="70" t="str">
        <f>Data!A38</f>
        <v>UMC - WI, North East District</v>
      </c>
      <c r="E153" s="54" t="str">
        <f>Data!B38</f>
        <v>Rev. M. Park Hunter</v>
      </c>
      <c r="F153" s="75">
        <v>3</v>
      </c>
      <c r="G153" s="70" t="s">
        <v>346</v>
      </c>
    </row>
    <row r="154" spans="2:7" ht="15.75" customHeight="1">
      <c r="B154" s="72" t="str">
        <f>Data!A17</f>
        <v>ELCA LaCrosse Area Synod</v>
      </c>
      <c r="C154" s="55" t="str">
        <f>Data!B17</f>
        <v>Bishop Felix Malpica</v>
      </c>
      <c r="D154" s="72" t="str">
        <f>Data!A38</f>
        <v>UMC - WI, North East District</v>
      </c>
      <c r="E154" s="55" t="str">
        <f>Data!B38</f>
        <v>Rev. M. Park Hunter</v>
      </c>
      <c r="F154" s="76">
        <v>3</v>
      </c>
      <c r="G154" s="72" t="s">
        <v>346</v>
      </c>
    </row>
    <row r="155" spans="2:7" ht="15.75" customHeight="1">
      <c r="B155" s="70" t="str">
        <f>Data!A17</f>
        <v>ELCA LaCrosse Area Synod</v>
      </c>
      <c r="C155" s="54" t="str">
        <f>Data!B17</f>
        <v>Bishop Felix Malpica</v>
      </c>
      <c r="D155" s="70" t="str">
        <f>Data!A41</f>
        <v>UMC - WI, South West District</v>
      </c>
      <c r="E155" s="54" t="str">
        <f>Data!B41</f>
        <v>Rev. In Sun Lee</v>
      </c>
      <c r="F155" s="75">
        <v>3</v>
      </c>
      <c r="G155" s="70" t="s">
        <v>347</v>
      </c>
    </row>
    <row r="156" spans="2:7" ht="15.75" customHeight="1">
      <c r="B156" s="72" t="str">
        <f>Data!A19</f>
        <v>ELCA Northwest Synod</v>
      </c>
      <c r="C156" s="55" t="str">
        <f>Data!B19</f>
        <v>Bishop Martin Halom</v>
      </c>
      <c r="D156" s="72" t="str">
        <f>Data!A27</f>
        <v>PC(USA), John Knox Presbytery</v>
      </c>
      <c r="E156" s="55" t="str">
        <f>Data!B27</f>
        <v>Rev. Devon Reynolds</v>
      </c>
      <c r="F156" s="76">
        <v>3</v>
      </c>
      <c r="G156" s="72" t="s">
        <v>348</v>
      </c>
    </row>
    <row r="157" spans="2:7" ht="15.75" customHeight="1">
      <c r="B157" s="70" t="str">
        <f>Data!A20</f>
        <v>ELCA South-Central Synod</v>
      </c>
      <c r="C157" s="54" t="str">
        <f>Data!B20</f>
        <v>Bishop Joy Mortensen-Weibe</v>
      </c>
      <c r="D157" s="70" t="str">
        <f>Data!A40</f>
        <v>UMC - WI, South East District</v>
      </c>
      <c r="E157" s="54" t="str">
        <f>Data!B40</f>
        <v>Rev. Amanda Stein</v>
      </c>
      <c r="F157" s="75">
        <v>3</v>
      </c>
      <c r="G157" s="70" t="s">
        <v>349</v>
      </c>
    </row>
    <row r="158" spans="2:7" ht="15.75" customHeight="1">
      <c r="B158" s="72" t="str">
        <f>Data!A21</f>
        <v>Greek Orthodox Church, Diocese of Chicago</v>
      </c>
      <c r="C158" s="55" t="str">
        <f>Data!B21</f>
        <v>Father Cyprian Sas</v>
      </c>
      <c r="D158" s="72" t="str">
        <f>Data!A24</f>
        <v>Metropolitan Community Churches</v>
      </c>
      <c r="E158" s="55" t="str">
        <f>Data!B24</f>
        <v>Lay Led</v>
      </c>
      <c r="F158" s="76">
        <v>3</v>
      </c>
      <c r="G158" s="72" t="s">
        <v>341</v>
      </c>
    </row>
    <row r="159" spans="2:7" ht="15.75" customHeight="1">
      <c r="B159" s="70" t="str">
        <f>Data!A23</f>
        <v>Mennonite Church USA, Central District Conference</v>
      </c>
      <c r="C159" s="54" t="str">
        <f>Data!B23</f>
        <v>Rev. Valerie Showalter at MMC</v>
      </c>
      <c r="D159" s="70" t="str">
        <f>Data!A24</f>
        <v>Metropolitan Community Churches</v>
      </c>
      <c r="E159" s="54" t="str">
        <f>Data!B24</f>
        <v>Lay Led</v>
      </c>
      <c r="F159" s="75">
        <v>3</v>
      </c>
      <c r="G159" s="70" t="s">
        <v>341</v>
      </c>
    </row>
    <row r="160" spans="2:7" ht="15.75" customHeight="1">
      <c r="B160" s="72" t="str">
        <f>Data!A24</f>
        <v>Metropolitan Community Churches</v>
      </c>
      <c r="C160" s="55" t="str">
        <f>Data!B24</f>
        <v>Lay Led</v>
      </c>
      <c r="D160" s="72" t="str">
        <f>Data!A25</f>
        <v>Moravian Church, Western District</v>
      </c>
      <c r="E160" s="55" t="str">
        <f>Data!B25</f>
        <v>Jason Andersen</v>
      </c>
      <c r="F160" s="76">
        <v>3</v>
      </c>
      <c r="G160" s="72" t="s">
        <v>341</v>
      </c>
    </row>
    <row r="161" spans="2:7" ht="15.75" customHeight="1">
      <c r="B161" s="70" t="str">
        <f>Data!A24</f>
        <v>Metropolitan Community Churches</v>
      </c>
      <c r="C161" s="54" t="str">
        <f>Data!B24</f>
        <v>Lay Led</v>
      </c>
      <c r="D161" s="70" t="str">
        <f>Data!A26</f>
        <v>Orthodox Church in America, Diocese of the Midwest</v>
      </c>
      <c r="E161" s="54" t="str">
        <f>Data!B26</f>
        <v>Fr. Elijah Mueller</v>
      </c>
      <c r="F161" s="75">
        <v>3</v>
      </c>
      <c r="G161" s="70" t="s">
        <v>341</v>
      </c>
    </row>
    <row r="162" spans="2:7" ht="15.75" customHeight="1">
      <c r="B162" s="72" t="str">
        <f>Data!A24</f>
        <v>Metropolitan Community Churches</v>
      </c>
      <c r="C162" s="55" t="str">
        <f>Data!B24</f>
        <v>Lay Led</v>
      </c>
      <c r="D162" s="72" t="str">
        <f>Data!A35</f>
        <v>UCC-WI, Eastern Region</v>
      </c>
      <c r="E162" s="55" t="str">
        <f>Data!B35</f>
        <v>Rev. Jane Anderson</v>
      </c>
      <c r="F162" s="76">
        <v>3</v>
      </c>
      <c r="G162" s="72" t="s">
        <v>350</v>
      </c>
    </row>
    <row r="163" spans="2:7" ht="15.75" customHeight="1">
      <c r="B163" s="70" t="str">
        <f>Data!A30</f>
        <v>PC(USA), Winnebago Presbytery</v>
      </c>
      <c r="C163" s="54" t="str">
        <f>Data!B30</f>
        <v>Rev. Dave Colby</v>
      </c>
      <c r="D163" s="70" t="str">
        <f>Data!A33</f>
        <v>Roman Catholic Diocese of LaCrosse</v>
      </c>
      <c r="E163" s="54" t="str">
        <f>Data!B33</f>
        <v>Bishop Battersby</v>
      </c>
      <c r="F163" s="75">
        <v>3</v>
      </c>
      <c r="G163" s="70" t="s">
        <v>344</v>
      </c>
    </row>
    <row r="164" spans="2:7" ht="15.75" customHeight="1">
      <c r="B164" s="72" t="str">
        <f>Data!A35</f>
        <v>UCC-WI, Eastern Region</v>
      </c>
      <c r="C164" s="55" t="str">
        <f>Data!B35</f>
        <v>Rev. Jane Anderson</v>
      </c>
      <c r="D164" s="72" t="str">
        <f>Data!A37</f>
        <v>UCC-WI, Southern Region</v>
      </c>
      <c r="E164" s="55" t="str">
        <f>Data!B37</f>
        <v>Rev. Rachel Bauman</v>
      </c>
      <c r="F164" s="76">
        <v>3</v>
      </c>
      <c r="G164" s="72" t="s">
        <v>351</v>
      </c>
    </row>
    <row r="165" spans="2:7" ht="15.75" customHeight="1">
      <c r="B165" s="70" t="str">
        <f>Data!A2</f>
        <v>African Methodist Episcopal Church, 4th District</v>
      </c>
      <c r="C165" s="54" t="str">
        <f>Data!B2</f>
        <v>Presiding Elder James Miller</v>
      </c>
      <c r="D165" s="70" t="str">
        <f>Data!A6</f>
        <v>Christian Methodist Episcopal Church, Third Episcopal District</v>
      </c>
      <c r="E165" s="54" t="str">
        <f>Data!B6</f>
        <v>Elder Tiggs Washington</v>
      </c>
      <c r="F165" s="75">
        <v>2</v>
      </c>
      <c r="G165" s="70" t="s">
        <v>248</v>
      </c>
    </row>
    <row r="166" spans="2:7" ht="15.75" customHeight="1">
      <c r="B166" s="72" t="str">
        <f>Data!A2</f>
        <v>African Methodist Episcopal Church, 4th District</v>
      </c>
      <c r="C166" s="55" t="str">
        <f>Data!B2</f>
        <v>Presiding Elder James Miller</v>
      </c>
      <c r="D166" s="72" t="str">
        <f>Data!A13</f>
        <v>Coptic Orthodox Church</v>
      </c>
      <c r="E166" s="55" t="str">
        <f>Data!B13</f>
        <v>Fr. Gergis (msn)/ Fr. Awadalla (mke)</v>
      </c>
      <c r="F166" s="76">
        <v>2</v>
      </c>
      <c r="G166" s="72" t="s">
        <v>252</v>
      </c>
    </row>
    <row r="167" spans="2:7" ht="15.75" customHeight="1">
      <c r="B167" s="70" t="str">
        <f>Data!A2</f>
        <v>African Methodist Episcopal Church, 4th District</v>
      </c>
      <c r="C167" s="54" t="str">
        <f>Data!B2</f>
        <v>Presiding Elder James Miller</v>
      </c>
      <c r="D167" s="70" t="str">
        <f>Data!A17</f>
        <v>ELCA LaCrosse Area Synod</v>
      </c>
      <c r="E167" s="54" t="str">
        <f>Data!B17</f>
        <v>Bishop Felix Malpica</v>
      </c>
      <c r="F167" s="75">
        <v>2</v>
      </c>
      <c r="G167" s="70" t="s">
        <v>352</v>
      </c>
    </row>
    <row r="168" spans="2:7" ht="15.75" customHeight="1">
      <c r="B168" s="72" t="str">
        <f>Data!A2</f>
        <v>African Methodist Episcopal Church, 4th District</v>
      </c>
      <c r="C168" s="55" t="str">
        <f>Data!B2</f>
        <v>Presiding Elder James Miller</v>
      </c>
      <c r="D168" s="72" t="str">
        <f>Data!A33</f>
        <v>Roman Catholic Diocese of LaCrosse</v>
      </c>
      <c r="E168" s="55" t="str">
        <f>Data!B33</f>
        <v>Bishop Battersby</v>
      </c>
      <c r="F168" s="76">
        <v>2</v>
      </c>
      <c r="G168" s="72" t="s">
        <v>353</v>
      </c>
    </row>
    <row r="169" spans="2:7" ht="15.75" customHeight="1">
      <c r="B169" s="70" t="str">
        <f>Data!A3</f>
        <v>American Baptist Churches of Wisconsin</v>
      </c>
      <c r="C169" s="54" t="str">
        <f>Data!B3</f>
        <v>Rev. Mindi Welton-Mitchell</v>
      </c>
      <c r="D169" s="70" t="str">
        <f>Data!A6</f>
        <v>Christian Methodist Episcopal Church, Third Episcopal District</v>
      </c>
      <c r="E169" s="54" t="str">
        <f>Data!B6</f>
        <v>Elder Tiggs Washington</v>
      </c>
      <c r="F169" s="75">
        <v>2</v>
      </c>
      <c r="G169" s="70" t="s">
        <v>248</v>
      </c>
    </row>
    <row r="170" spans="2:7" ht="15.75" customHeight="1">
      <c r="B170" s="72" t="str">
        <f>Data!A3</f>
        <v>American Baptist Churches of Wisconsin</v>
      </c>
      <c r="C170" s="55" t="str">
        <f>Data!B3</f>
        <v>Rev. Mindi Welton-Mitchell</v>
      </c>
      <c r="D170" s="72" t="str">
        <f>Data!A13</f>
        <v>Coptic Orthodox Church</v>
      </c>
      <c r="E170" s="55" t="str">
        <f>Data!B13</f>
        <v>Fr. Gergis (msn)/ Fr. Awadalla (mke)</v>
      </c>
      <c r="F170" s="76">
        <v>2</v>
      </c>
      <c r="G170" s="72" t="s">
        <v>252</v>
      </c>
    </row>
    <row r="171" spans="2:7" ht="15.75" customHeight="1">
      <c r="B171" s="70" t="str">
        <f>Data!A3</f>
        <v>American Baptist Churches of Wisconsin</v>
      </c>
      <c r="C171" s="54" t="str">
        <f>Data!B3</f>
        <v>Rev. Mindi Welton-Mitchell</v>
      </c>
      <c r="D171" s="70" t="str">
        <f>Data!A17</f>
        <v>ELCA LaCrosse Area Synod</v>
      </c>
      <c r="E171" s="54" t="str">
        <f>Data!B17</f>
        <v>Bishop Felix Malpica</v>
      </c>
      <c r="F171" s="75">
        <v>2</v>
      </c>
      <c r="G171" s="70" t="s">
        <v>352</v>
      </c>
    </row>
    <row r="172" spans="2:7" ht="15.75" customHeight="1">
      <c r="B172" s="72" t="str">
        <f>Data!A3</f>
        <v>American Baptist Churches of Wisconsin</v>
      </c>
      <c r="C172" s="55" t="str">
        <f>Data!B3</f>
        <v>Rev. Mindi Welton-Mitchell</v>
      </c>
      <c r="D172" s="72" t="str">
        <f>Data!A33</f>
        <v>Roman Catholic Diocese of LaCrosse</v>
      </c>
      <c r="E172" s="55" t="str">
        <f>Data!B33</f>
        <v>Bishop Battersby</v>
      </c>
      <c r="F172" s="76">
        <v>2</v>
      </c>
      <c r="G172" s="72" t="s">
        <v>353</v>
      </c>
    </row>
    <row r="173" spans="2:7" ht="15.75" customHeight="1">
      <c r="B173" s="70" t="str">
        <f>Data!A4</f>
        <v>Armenian Orthodox Church, Eastern Diocese</v>
      </c>
      <c r="C173" s="54" t="str">
        <f>Data!B4</f>
        <v>Father Yeprem Kelegian</v>
      </c>
      <c r="D173" s="70" t="str">
        <f>Data!A9</f>
        <v>COGIC, Wisconsin First Jurisdiction</v>
      </c>
      <c r="E173" s="54" t="str">
        <f>Data!B9</f>
        <v>Bishop Darrell Hines, Sr.</v>
      </c>
      <c r="F173" s="75">
        <v>2</v>
      </c>
      <c r="G173" s="70" t="s">
        <v>354</v>
      </c>
    </row>
    <row r="174" spans="2:7" ht="15.75" customHeight="1">
      <c r="B174" s="72" t="str">
        <f>Data!A4</f>
        <v>Armenian Orthodox Church, Eastern Diocese</v>
      </c>
      <c r="C174" s="55" t="str">
        <f>Data!B4</f>
        <v>Father Yeprem Kelegian</v>
      </c>
      <c r="D174" s="72" t="str">
        <f>Data!A16</f>
        <v>ELCA Greater Milwaukee Synod</v>
      </c>
      <c r="E174" s="55" t="str">
        <f>Data!B16</f>
        <v>Bishop Paul Erickson</v>
      </c>
      <c r="F174" s="76">
        <v>2</v>
      </c>
      <c r="G174" s="72" t="s">
        <v>355</v>
      </c>
    </row>
    <row r="175" spans="2:7" ht="15.75" customHeight="1">
      <c r="B175" s="70" t="str">
        <f>Data!A4</f>
        <v>Armenian Orthodox Church, Eastern Diocese</v>
      </c>
      <c r="C175" s="54" t="str">
        <f>Data!B4</f>
        <v>Father Yeprem Kelegian</v>
      </c>
      <c r="D175" s="70" t="str">
        <f>Data!A24</f>
        <v>Metropolitan Community Churches</v>
      </c>
      <c r="E175" s="54" t="str">
        <f>Data!B24</f>
        <v>Lay Led</v>
      </c>
      <c r="F175" s="75">
        <v>2</v>
      </c>
      <c r="G175" s="70" t="s">
        <v>354</v>
      </c>
    </row>
    <row r="176" spans="2:7" ht="15.75" customHeight="1">
      <c r="B176" s="72" t="str">
        <f>Data!A4</f>
        <v>Armenian Orthodox Church, Eastern Diocese</v>
      </c>
      <c r="C176" s="55" t="str">
        <f>Data!B4</f>
        <v>Father Yeprem Kelegian</v>
      </c>
      <c r="D176" s="72" t="str">
        <f>Data!A28</f>
        <v>PC(USA), Milwaukee Presbytery</v>
      </c>
      <c r="E176" s="55" t="str">
        <f>Data!B28</f>
        <v>Rev. Christian Boyd, Ann Gibbs</v>
      </c>
      <c r="F176" s="76">
        <v>2</v>
      </c>
      <c r="G176" s="72" t="s">
        <v>355</v>
      </c>
    </row>
    <row r="177" spans="2:7" ht="15.75" customHeight="1">
      <c r="B177" s="70" t="str">
        <f>Data!A4</f>
        <v>Armenian Orthodox Church, Eastern Diocese</v>
      </c>
      <c r="C177" s="54" t="str">
        <f>Data!B4</f>
        <v>Father Yeprem Kelegian</v>
      </c>
      <c r="D177" s="70" t="str">
        <f>Data!A31</f>
        <v>Roman Catholic Archdiocese of Milwaukee</v>
      </c>
      <c r="E177" s="54" t="str">
        <f>Data!B31</f>
        <v>Archbishop Grob</v>
      </c>
      <c r="F177" s="75">
        <v>2</v>
      </c>
      <c r="G177" s="70" t="s">
        <v>355</v>
      </c>
    </row>
    <row r="178" spans="2:7" ht="15.75" customHeight="1">
      <c r="B178" s="72" t="str">
        <f>Data!A4</f>
        <v>Armenian Orthodox Church, Eastern Diocese</v>
      </c>
      <c r="C178" s="55" t="str">
        <f>Data!B4</f>
        <v>Father Yeprem Kelegian</v>
      </c>
      <c r="D178" s="72" t="str">
        <f>Data!A37</f>
        <v>UCC-WI, Southern Region</v>
      </c>
      <c r="E178" s="55" t="str">
        <f>Data!B37</f>
        <v>Rev. Rachel Bauman</v>
      </c>
      <c r="F178" s="76">
        <v>2</v>
      </c>
      <c r="G178" s="72" t="s">
        <v>356</v>
      </c>
    </row>
    <row r="179" spans="2:7" ht="15.75" customHeight="1">
      <c r="B179" s="70" t="str">
        <f>Data!A4</f>
        <v>Armenian Orthodox Church, Eastern Diocese</v>
      </c>
      <c r="C179" s="54" t="str">
        <f>Data!B4</f>
        <v>Father Yeprem Kelegian</v>
      </c>
      <c r="D179" s="70" t="str">
        <f>Data!A40</f>
        <v>UMC - WI, South East District</v>
      </c>
      <c r="E179" s="54" t="str">
        <f>Data!B40</f>
        <v>Rev. Amanda Stein</v>
      </c>
      <c r="F179" s="75">
        <v>2</v>
      </c>
      <c r="G179" s="70" t="s">
        <v>355</v>
      </c>
    </row>
    <row r="180" spans="2:7" ht="15.75" customHeight="1">
      <c r="B180" s="72" t="str">
        <f>Data!A6</f>
        <v>Christian Methodist Episcopal Church, Third Episcopal District</v>
      </c>
      <c r="C180" s="55" t="str">
        <f>Data!B6</f>
        <v>Elder Tiggs Washington</v>
      </c>
      <c r="D180" s="72" t="str">
        <f>Data!A12</f>
        <v>Community of Christ Headwaters Mission Center</v>
      </c>
      <c r="E180" s="55" t="str">
        <f>Data!B12</f>
        <v>Mr. Matt Davisdon</v>
      </c>
      <c r="F180" s="76">
        <v>2</v>
      </c>
      <c r="G180" s="72" t="s">
        <v>248</v>
      </c>
    </row>
    <row r="181" spans="2:7" ht="15.75" customHeight="1">
      <c r="B181" s="70" t="str">
        <f>Data!A6</f>
        <v>Christian Methodist Episcopal Church, Third Episcopal District</v>
      </c>
      <c r="C181" s="54" t="str">
        <f>Data!B6</f>
        <v>Elder Tiggs Washington</v>
      </c>
      <c r="D181" s="70" t="str">
        <f>Data!A21</f>
        <v>Greek Orthodox Church, Diocese of Chicago</v>
      </c>
      <c r="E181" s="54" t="str">
        <f>Data!B21</f>
        <v>Father Cyprian Sas</v>
      </c>
      <c r="F181" s="75">
        <v>2</v>
      </c>
      <c r="G181" s="70" t="s">
        <v>248</v>
      </c>
    </row>
    <row r="182" spans="2:7" ht="15.75" customHeight="1">
      <c r="B182" s="72" t="str">
        <f>Data!A6</f>
        <v>Christian Methodist Episcopal Church, Third Episcopal District</v>
      </c>
      <c r="C182" s="55" t="str">
        <f>Data!B6</f>
        <v>Elder Tiggs Washington</v>
      </c>
      <c r="D182" s="72" t="str">
        <f>Data!A23</f>
        <v>Mennonite Church USA, Central District Conference</v>
      </c>
      <c r="E182" s="55" t="str">
        <f>Data!B23</f>
        <v>Rev. Valerie Showalter at MMC</v>
      </c>
      <c r="F182" s="76">
        <v>2</v>
      </c>
      <c r="G182" s="72" t="s">
        <v>248</v>
      </c>
    </row>
    <row r="183" spans="2:7" ht="15.75" customHeight="1">
      <c r="B183" s="70" t="str">
        <f>Data!A6</f>
        <v>Christian Methodist Episcopal Church, Third Episcopal District</v>
      </c>
      <c r="C183" s="54" t="str">
        <f>Data!B6</f>
        <v>Elder Tiggs Washington</v>
      </c>
      <c r="D183" s="70" t="str">
        <f>Data!A25</f>
        <v>Moravian Church, Western District</v>
      </c>
      <c r="E183" s="54" t="str">
        <f>Data!B25</f>
        <v>Jason Andersen</v>
      </c>
      <c r="F183" s="75">
        <v>2</v>
      </c>
      <c r="G183" s="70" t="s">
        <v>248</v>
      </c>
    </row>
    <row r="184" spans="2:7" ht="15.75" customHeight="1">
      <c r="B184" s="72" t="str">
        <f>Data!A6</f>
        <v>Christian Methodist Episcopal Church, Third Episcopal District</v>
      </c>
      <c r="C184" s="55" t="str">
        <f>Data!B6</f>
        <v>Elder Tiggs Washington</v>
      </c>
      <c r="D184" s="72" t="str">
        <f>Data!A26</f>
        <v>Orthodox Church in America, Diocese of the Midwest</v>
      </c>
      <c r="E184" s="55" t="str">
        <f>Data!B26</f>
        <v>Fr. Elijah Mueller</v>
      </c>
      <c r="F184" s="76">
        <v>2</v>
      </c>
      <c r="G184" s="72" t="s">
        <v>248</v>
      </c>
    </row>
    <row r="185" spans="2:7" ht="15.75" customHeight="1">
      <c r="B185" s="70" t="str">
        <f>Data!A6</f>
        <v>Christian Methodist Episcopal Church, Third Episcopal District</v>
      </c>
      <c r="C185" s="54" t="str">
        <f>Data!B6</f>
        <v>Elder Tiggs Washington</v>
      </c>
      <c r="D185" s="70" t="str">
        <f>Data!A28</f>
        <v>PC(USA), Milwaukee Presbytery</v>
      </c>
      <c r="E185" s="54" t="str">
        <f>Data!B28</f>
        <v>Rev. Christian Boyd, Ann Gibbs</v>
      </c>
      <c r="F185" s="75">
        <v>2</v>
      </c>
      <c r="G185" s="70" t="s">
        <v>248</v>
      </c>
    </row>
    <row r="186" spans="2:7" ht="15.75" customHeight="1">
      <c r="B186" s="72" t="str">
        <f>Data!A9</f>
        <v>COGIC, Wisconsin First Jurisdiction</v>
      </c>
      <c r="C186" s="55" t="str">
        <f>Data!B9</f>
        <v>Bishop Darrell Hines, Sr.</v>
      </c>
      <c r="D186" s="72" t="str">
        <f>Data!A12</f>
        <v>Community of Christ Headwaters Mission Center</v>
      </c>
      <c r="E186" s="55" t="str">
        <f>Data!B12</f>
        <v>Mr. Matt Davisdon</v>
      </c>
      <c r="F186" s="76">
        <v>2</v>
      </c>
      <c r="G186" s="72" t="s">
        <v>252</v>
      </c>
    </row>
    <row r="187" spans="2:7" ht="15.75" customHeight="1">
      <c r="B187" s="70" t="str">
        <f>Data!A9</f>
        <v>COGIC, Wisconsin First Jurisdiction</v>
      </c>
      <c r="C187" s="54" t="str">
        <f>Data!B9</f>
        <v>Bishop Darrell Hines, Sr.</v>
      </c>
      <c r="D187" s="70" t="str">
        <f>Data!A13</f>
        <v>Coptic Orthodox Church</v>
      </c>
      <c r="E187" s="54" t="str">
        <f>Data!B13</f>
        <v>Fr. Gergis (msn)/ Fr. Awadalla (mke)</v>
      </c>
      <c r="F187" s="75">
        <v>2</v>
      </c>
      <c r="G187" s="70" t="s">
        <v>252</v>
      </c>
    </row>
    <row r="188" spans="2:7" ht="15.75" customHeight="1">
      <c r="B188" s="72" t="str">
        <f>Data!A9</f>
        <v>COGIC, Wisconsin First Jurisdiction</v>
      </c>
      <c r="C188" s="55" t="str">
        <f>Data!B9</f>
        <v>Bishop Darrell Hines, Sr.</v>
      </c>
      <c r="D188" s="72" t="str">
        <f>Data!A20</f>
        <v>ELCA South-Central Synod</v>
      </c>
      <c r="E188" s="55" t="str">
        <f>Data!B20</f>
        <v>Bishop Joy Mortensen-Weibe</v>
      </c>
      <c r="F188" s="76">
        <v>2</v>
      </c>
      <c r="G188" s="72" t="s">
        <v>357</v>
      </c>
    </row>
    <row r="189" spans="2:7" ht="15.75" customHeight="1">
      <c r="B189" s="70" t="str">
        <f>Data!A9</f>
        <v>COGIC, Wisconsin First Jurisdiction</v>
      </c>
      <c r="C189" s="54" t="str">
        <f>Data!B9</f>
        <v>Bishop Darrell Hines, Sr.</v>
      </c>
      <c r="D189" s="70" t="str">
        <f>Data!A24</f>
        <v>Metropolitan Community Churches</v>
      </c>
      <c r="E189" s="54" t="str">
        <f>Data!B24</f>
        <v>Lay Led</v>
      </c>
      <c r="F189" s="75">
        <v>2</v>
      </c>
      <c r="G189" s="70" t="s">
        <v>354</v>
      </c>
    </row>
    <row r="190" spans="2:7" ht="15.75" customHeight="1">
      <c r="B190" s="72" t="str">
        <f>Data!A9</f>
        <v>COGIC, Wisconsin First Jurisdiction</v>
      </c>
      <c r="C190" s="55" t="str">
        <f>Data!B9</f>
        <v>Bishop Darrell Hines, Sr.</v>
      </c>
      <c r="D190" s="72" t="str">
        <f>Data!A27</f>
        <v>PC(USA), John Knox Presbytery</v>
      </c>
      <c r="E190" s="55" t="str">
        <f>Data!B27</f>
        <v>Rev. Devon Reynolds</v>
      </c>
      <c r="F190" s="76">
        <v>2</v>
      </c>
      <c r="G190" s="72" t="s">
        <v>357</v>
      </c>
    </row>
    <row r="191" spans="2:7" ht="15.75" customHeight="1">
      <c r="B191" s="70" t="str">
        <f>Data!A9</f>
        <v>COGIC, Wisconsin First Jurisdiction</v>
      </c>
      <c r="C191" s="54" t="str">
        <f>Data!B9</f>
        <v>Bishop Darrell Hines, Sr.</v>
      </c>
      <c r="D191" s="70" t="str">
        <f>Data!A37</f>
        <v>UCC-WI, Southern Region</v>
      </c>
      <c r="E191" s="54" t="str">
        <f>Data!B37</f>
        <v>Rev. Rachel Bauman</v>
      </c>
      <c r="F191" s="75">
        <v>2</v>
      </c>
      <c r="G191" s="70" t="s">
        <v>357</v>
      </c>
    </row>
    <row r="192" spans="2:7" ht="15.75" customHeight="1">
      <c r="B192" s="72" t="str">
        <f>Data!A9</f>
        <v>COGIC, Wisconsin First Jurisdiction</v>
      </c>
      <c r="C192" s="55" t="str">
        <f>Data!B9</f>
        <v>Bishop Darrell Hines, Sr.</v>
      </c>
      <c r="D192" s="72" t="str">
        <f>Data!A41</f>
        <v>UMC - WI, South West District</v>
      </c>
      <c r="E192" s="55" t="str">
        <f>Data!B41</f>
        <v>Rev. In Sun Lee</v>
      </c>
      <c r="F192" s="76">
        <v>2</v>
      </c>
      <c r="G192" s="72" t="s">
        <v>357</v>
      </c>
    </row>
    <row r="193" spans="2:7" ht="15.75" customHeight="1">
      <c r="B193" s="70" t="str">
        <f>Data!A12</f>
        <v>Community of Christ Headwaters Mission Center</v>
      </c>
      <c r="C193" s="54" t="str">
        <f>Data!B12</f>
        <v>Mr. Matt Davisdon</v>
      </c>
      <c r="D193" s="70" t="str">
        <f>Data!A13</f>
        <v>Coptic Orthodox Church</v>
      </c>
      <c r="E193" s="54" t="str">
        <f>Data!B13</f>
        <v>Fr. Gergis (msn)/ Fr. Awadalla (mke)</v>
      </c>
      <c r="F193" s="75">
        <v>2</v>
      </c>
      <c r="G193" s="70" t="s">
        <v>252</v>
      </c>
    </row>
    <row r="194" spans="2:7" ht="15.75" customHeight="1">
      <c r="B194" s="72" t="str">
        <f>Data!A12</f>
        <v>Community of Christ Headwaters Mission Center</v>
      </c>
      <c r="C194" s="55" t="str">
        <f>Data!B12</f>
        <v>Mr. Matt Davisdon</v>
      </c>
      <c r="D194" s="72" t="str">
        <f>Data!A28</f>
        <v>PC(USA), Milwaukee Presbytery</v>
      </c>
      <c r="E194" s="55" t="str">
        <f>Data!B28</f>
        <v>Rev. Christian Boyd, Ann Gibbs</v>
      </c>
      <c r="F194" s="76">
        <v>2</v>
      </c>
      <c r="G194" s="72" t="s">
        <v>248</v>
      </c>
    </row>
    <row r="195" spans="2:7" ht="15.75" customHeight="1">
      <c r="B195" s="70" t="str">
        <f>Data!A12</f>
        <v>Community of Christ Headwaters Mission Center</v>
      </c>
      <c r="C195" s="54" t="str">
        <f>Data!B12</f>
        <v>Mr. Matt Davisdon</v>
      </c>
      <c r="D195" s="70" t="str">
        <f>Data!A33</f>
        <v>Roman Catholic Diocese of LaCrosse</v>
      </c>
      <c r="E195" s="54" t="str">
        <f>Data!B33</f>
        <v>Bishop Battersby</v>
      </c>
      <c r="F195" s="75">
        <v>2</v>
      </c>
      <c r="G195" s="70" t="s">
        <v>358</v>
      </c>
    </row>
    <row r="196" spans="2:7" ht="15.75" customHeight="1">
      <c r="B196" s="72" t="str">
        <f>Data!A13</f>
        <v>Coptic Orthodox Church</v>
      </c>
      <c r="C196" s="55" t="str">
        <f>Data!B13</f>
        <v>Fr. Gergis (msn)/ Fr. Awadalla (mke)</v>
      </c>
      <c r="D196" s="72" t="str">
        <f>Data!A21</f>
        <v>Greek Orthodox Church, Diocese of Chicago</v>
      </c>
      <c r="E196" s="55" t="str">
        <f>Data!B21</f>
        <v>Father Cyprian Sas</v>
      </c>
      <c r="F196" s="76">
        <v>2</v>
      </c>
      <c r="G196" s="72" t="s">
        <v>252</v>
      </c>
    </row>
    <row r="197" spans="2:7" ht="15.75" customHeight="1">
      <c r="B197" s="70" t="str">
        <f>Data!A13</f>
        <v>Coptic Orthodox Church</v>
      </c>
      <c r="C197" s="54" t="str">
        <f>Data!B13</f>
        <v>Fr. Gergis (msn)/ Fr. Awadalla (mke)</v>
      </c>
      <c r="D197" s="70" t="str">
        <f>Data!A23</f>
        <v>Mennonite Church USA, Central District Conference</v>
      </c>
      <c r="E197" s="54" t="str">
        <f>Data!B23</f>
        <v>Rev. Valerie Showalter at MMC</v>
      </c>
      <c r="F197" s="75">
        <v>2</v>
      </c>
      <c r="G197" s="70" t="s">
        <v>252</v>
      </c>
    </row>
    <row r="198" spans="2:7" ht="15.75" customHeight="1">
      <c r="B198" s="72" t="str">
        <f>Data!A13</f>
        <v>Coptic Orthodox Church</v>
      </c>
      <c r="C198" s="55" t="str">
        <f>Data!B13</f>
        <v>Fr. Gergis (msn)/ Fr. Awadalla (mke)</v>
      </c>
      <c r="D198" s="72" t="str">
        <f>Data!A25</f>
        <v>Moravian Church, Western District</v>
      </c>
      <c r="E198" s="55" t="str">
        <f>Data!B25</f>
        <v>Jason Andersen</v>
      </c>
      <c r="F198" s="76">
        <v>2</v>
      </c>
      <c r="G198" s="72" t="s">
        <v>252</v>
      </c>
    </row>
    <row r="199" spans="2:7" ht="15.75" customHeight="1">
      <c r="B199" s="70" t="str">
        <f>Data!A13</f>
        <v>Coptic Orthodox Church</v>
      </c>
      <c r="C199" s="54" t="str">
        <f>Data!B13</f>
        <v>Fr. Gergis (msn)/ Fr. Awadalla (mke)</v>
      </c>
      <c r="D199" s="70" t="str">
        <f>Data!A26</f>
        <v>Orthodox Church in America, Diocese of the Midwest</v>
      </c>
      <c r="E199" s="54" t="str">
        <f>Data!B26</f>
        <v>Fr. Elijah Mueller</v>
      </c>
      <c r="F199" s="75">
        <v>2</v>
      </c>
      <c r="G199" s="70" t="s">
        <v>252</v>
      </c>
    </row>
    <row r="200" spans="2:7" ht="15.75" customHeight="1">
      <c r="B200" s="72" t="str">
        <f>Data!A15</f>
        <v>ELCA East-Central Synod</v>
      </c>
      <c r="C200" s="55" t="str">
        <f>Data!B15</f>
        <v>Bishop Anne Edison Albright</v>
      </c>
      <c r="D200" s="72" t="str">
        <f>Data!A19</f>
        <v>ELCA Northwest Synod</v>
      </c>
      <c r="E200" s="55" t="str">
        <f>Data!B19</f>
        <v>Bishop Martin Halom</v>
      </c>
      <c r="F200" s="76">
        <v>2</v>
      </c>
      <c r="G200" s="72" t="s">
        <v>359</v>
      </c>
    </row>
    <row r="201" spans="2:7" ht="15.75" customHeight="1">
      <c r="B201" s="70" t="str">
        <f>Data!A15</f>
        <v>ELCA East-Central Synod</v>
      </c>
      <c r="C201" s="54" t="str">
        <f>Data!B15</f>
        <v>Bishop Anne Edison Albright</v>
      </c>
      <c r="D201" s="70" t="str">
        <f>Data!A40</f>
        <v>UMC - WI, South East District</v>
      </c>
      <c r="E201" s="54" t="str">
        <f>Data!B40</f>
        <v>Rev. Amanda Stein</v>
      </c>
      <c r="F201" s="75">
        <v>2</v>
      </c>
      <c r="G201" s="70" t="s">
        <v>360</v>
      </c>
    </row>
    <row r="202" spans="2:7" ht="15.75" customHeight="1">
      <c r="B202" s="72" t="str">
        <f>Data!A16</f>
        <v>ELCA Greater Milwaukee Synod</v>
      </c>
      <c r="C202" s="55" t="str">
        <f>Data!B16</f>
        <v>Bishop Paul Erickson</v>
      </c>
      <c r="D202" s="72" t="str">
        <f>Data!A37</f>
        <v>UCC-WI, Southern Region</v>
      </c>
      <c r="E202" s="55" t="str">
        <f>Data!B37</f>
        <v>Rev. Rachel Bauman</v>
      </c>
      <c r="F202" s="76">
        <v>2</v>
      </c>
      <c r="G202" s="72" t="s">
        <v>361</v>
      </c>
    </row>
    <row r="203" spans="2:7" ht="15.75" customHeight="1">
      <c r="B203" s="70" t="str">
        <f>Data!A17</f>
        <v>ELCA LaCrosse Area Synod</v>
      </c>
      <c r="C203" s="54" t="str">
        <f>Data!B17</f>
        <v>Bishop Felix Malpica</v>
      </c>
      <c r="D203" s="70" t="str">
        <f>Data!A19</f>
        <v>ELCA Northwest Synod</v>
      </c>
      <c r="E203" s="54" t="str">
        <f>Data!B19</f>
        <v>Bishop Martin Halom</v>
      </c>
      <c r="F203" s="75">
        <v>2</v>
      </c>
      <c r="G203" s="70" t="s">
        <v>362</v>
      </c>
    </row>
    <row r="204" spans="2:7" ht="15.75" customHeight="1">
      <c r="B204" s="72" t="str">
        <f>Data!A17</f>
        <v>ELCA LaCrosse Area Synod</v>
      </c>
      <c r="C204" s="55" t="str">
        <f>Data!B17</f>
        <v>Bishop Felix Malpica</v>
      </c>
      <c r="D204" s="72" t="str">
        <f>Data!A21</f>
        <v>Greek Orthodox Church, Diocese of Chicago</v>
      </c>
      <c r="E204" s="55" t="str">
        <f>Data!B21</f>
        <v>Father Cyprian Sas</v>
      </c>
      <c r="F204" s="76">
        <v>2</v>
      </c>
      <c r="G204" s="72" t="s">
        <v>352</v>
      </c>
    </row>
    <row r="205" spans="2:7" ht="15.75" customHeight="1">
      <c r="B205" s="70" t="str">
        <f>Data!A17</f>
        <v>ELCA LaCrosse Area Synod</v>
      </c>
      <c r="C205" s="54" t="str">
        <f>Data!B17</f>
        <v>Bishop Felix Malpica</v>
      </c>
      <c r="D205" s="70" t="str">
        <f>Data!A23</f>
        <v>Mennonite Church USA, Central District Conference</v>
      </c>
      <c r="E205" s="54" t="str">
        <f>Data!B23</f>
        <v>Rev. Valerie Showalter at MMC</v>
      </c>
      <c r="F205" s="75">
        <v>2</v>
      </c>
      <c r="G205" s="70" t="s">
        <v>352</v>
      </c>
    </row>
    <row r="206" spans="2:7" ht="15.75" customHeight="1">
      <c r="B206" s="72" t="str">
        <f>Data!A17</f>
        <v>ELCA LaCrosse Area Synod</v>
      </c>
      <c r="C206" s="55" t="str">
        <f>Data!B17</f>
        <v>Bishop Felix Malpica</v>
      </c>
      <c r="D206" s="72" t="str">
        <f>Data!A25</f>
        <v>Moravian Church, Western District</v>
      </c>
      <c r="E206" s="55" t="str">
        <f>Data!B25</f>
        <v>Jason Andersen</v>
      </c>
      <c r="F206" s="76">
        <v>2</v>
      </c>
      <c r="G206" s="72" t="s">
        <v>352</v>
      </c>
    </row>
    <row r="207" spans="2:7" ht="15.75" customHeight="1">
      <c r="B207" s="70" t="str">
        <f>Data!A17</f>
        <v>ELCA LaCrosse Area Synod</v>
      </c>
      <c r="C207" s="54" t="str">
        <f>Data!B17</f>
        <v>Bishop Felix Malpica</v>
      </c>
      <c r="D207" s="70" t="str">
        <f>Data!A26</f>
        <v>Orthodox Church in America, Diocese of the Midwest</v>
      </c>
      <c r="E207" s="54" t="str">
        <f>Data!B26</f>
        <v>Fr. Elijah Mueller</v>
      </c>
      <c r="F207" s="75">
        <v>2</v>
      </c>
      <c r="G207" s="70" t="s">
        <v>352</v>
      </c>
    </row>
    <row r="208" spans="2:7" ht="15.75" customHeight="1">
      <c r="B208" s="72" t="str">
        <f>Data!A19</f>
        <v>ELCA Northwest Synod</v>
      </c>
      <c r="C208" s="55" t="str">
        <f>Data!B19</f>
        <v>Bishop Martin Halom</v>
      </c>
      <c r="D208" s="72" t="str">
        <f>Data!A30</f>
        <v>PC(USA), Winnebago Presbytery</v>
      </c>
      <c r="E208" s="55" t="str">
        <f>Data!B30</f>
        <v>Rev. Dave Colby</v>
      </c>
      <c r="F208" s="76">
        <v>2</v>
      </c>
      <c r="G208" s="72" t="s">
        <v>359</v>
      </c>
    </row>
    <row r="209" spans="2:7" ht="15.75" customHeight="1">
      <c r="B209" s="70" t="str">
        <f>Data!A20</f>
        <v>ELCA South-Central Synod</v>
      </c>
      <c r="C209" s="54" t="str">
        <f>Data!B20</f>
        <v>Bishop Joy Mortensen-Weibe</v>
      </c>
      <c r="D209" s="70" t="str">
        <f>Data!A31</f>
        <v>Roman Catholic Archdiocese of Milwaukee</v>
      </c>
      <c r="E209" s="54" t="str">
        <f>Data!B31</f>
        <v>Archbishop Grob</v>
      </c>
      <c r="F209" s="75">
        <v>2</v>
      </c>
      <c r="G209" s="70" t="s">
        <v>363</v>
      </c>
    </row>
    <row r="210" spans="2:7" ht="15.75" customHeight="1">
      <c r="B210" s="72" t="str">
        <f>Data!A21</f>
        <v>Greek Orthodox Church, Diocese of Chicago</v>
      </c>
      <c r="C210" s="55" t="str">
        <f>Data!B21</f>
        <v>Father Cyprian Sas</v>
      </c>
      <c r="D210" s="72" t="str">
        <f>Data!A33</f>
        <v>Roman Catholic Diocese of LaCrosse</v>
      </c>
      <c r="E210" s="55" t="str">
        <f>Data!B33</f>
        <v>Bishop Battersby</v>
      </c>
      <c r="F210" s="76">
        <v>2</v>
      </c>
      <c r="G210" s="72" t="s">
        <v>353</v>
      </c>
    </row>
    <row r="211" spans="2:7" ht="15.75" customHeight="1">
      <c r="B211" s="70" t="str">
        <f>Data!A23</f>
        <v>Mennonite Church USA, Central District Conference</v>
      </c>
      <c r="C211" s="54" t="str">
        <f>Data!B23</f>
        <v>Rev. Valerie Showalter at MMC</v>
      </c>
      <c r="D211" s="70" t="str">
        <f>Data!A33</f>
        <v>Roman Catholic Diocese of LaCrosse</v>
      </c>
      <c r="E211" s="54" t="str">
        <f>Data!B33</f>
        <v>Bishop Battersby</v>
      </c>
      <c r="F211" s="75">
        <v>2</v>
      </c>
      <c r="G211" s="70" t="s">
        <v>353</v>
      </c>
    </row>
    <row r="212" spans="2:7" ht="15.75" customHeight="1">
      <c r="B212" s="72" t="str">
        <f>Data!A24</f>
        <v>Metropolitan Community Churches</v>
      </c>
      <c r="C212" s="55" t="str">
        <f>Data!B24</f>
        <v>Lay Led</v>
      </c>
      <c r="D212" s="72" t="str">
        <f>Data!A28</f>
        <v>PC(USA), Milwaukee Presbytery</v>
      </c>
      <c r="E212" s="55" t="str">
        <f>Data!B28</f>
        <v>Rev. Christian Boyd, Ann Gibbs</v>
      </c>
      <c r="F212" s="76">
        <v>2</v>
      </c>
      <c r="G212" s="72" t="s">
        <v>364</v>
      </c>
    </row>
    <row r="213" spans="2:7" ht="15.75" customHeight="1">
      <c r="B213" s="70" t="str">
        <f>Data!A24</f>
        <v>Metropolitan Community Churches</v>
      </c>
      <c r="C213" s="54" t="str">
        <f>Data!B24</f>
        <v>Lay Led</v>
      </c>
      <c r="D213" s="70" t="str">
        <f>Data!A31</f>
        <v>Roman Catholic Archdiocese of Milwaukee</v>
      </c>
      <c r="E213" s="54" t="str">
        <f>Data!B31</f>
        <v>Archbishop Grob</v>
      </c>
      <c r="F213" s="75">
        <v>2</v>
      </c>
      <c r="G213" s="70" t="s">
        <v>364</v>
      </c>
    </row>
    <row r="214" spans="2:7" ht="15.75" customHeight="1">
      <c r="B214" s="72" t="str">
        <f>Data!A24</f>
        <v>Metropolitan Community Churches</v>
      </c>
      <c r="C214" s="55" t="str">
        <f>Data!B24</f>
        <v>Lay Led</v>
      </c>
      <c r="D214" s="72" t="str">
        <f>Data!A37</f>
        <v>UCC-WI, Southern Region</v>
      </c>
      <c r="E214" s="55" t="str">
        <f>Data!B37</f>
        <v>Rev. Rachel Bauman</v>
      </c>
      <c r="F214" s="76">
        <v>2</v>
      </c>
      <c r="G214" s="72" t="s">
        <v>365</v>
      </c>
    </row>
    <row r="215" spans="2:7" ht="15.75" customHeight="1">
      <c r="B215" s="70" t="str">
        <f>Data!A24</f>
        <v>Metropolitan Community Churches</v>
      </c>
      <c r="C215" s="54" t="str">
        <f>Data!B24</f>
        <v>Lay Led</v>
      </c>
      <c r="D215" s="70" t="str">
        <f>Data!A40</f>
        <v>UMC - WI, South East District</v>
      </c>
      <c r="E215" s="54" t="str">
        <f>Data!B40</f>
        <v>Rev. Amanda Stein</v>
      </c>
      <c r="F215" s="75">
        <v>2</v>
      </c>
      <c r="G215" s="70" t="s">
        <v>364</v>
      </c>
    </row>
    <row r="216" spans="2:7" ht="15.75" customHeight="1">
      <c r="B216" s="72" t="str">
        <f>Data!A25</f>
        <v>Moravian Church, Western District</v>
      </c>
      <c r="C216" s="55" t="str">
        <f>Data!B25</f>
        <v>Jason Andersen</v>
      </c>
      <c r="D216" s="72" t="str">
        <f>Data!A33</f>
        <v>Roman Catholic Diocese of LaCrosse</v>
      </c>
      <c r="E216" s="55" t="str">
        <f>Data!B33</f>
        <v>Bishop Battersby</v>
      </c>
      <c r="F216" s="76">
        <v>2</v>
      </c>
      <c r="G216" s="72" t="s">
        <v>353</v>
      </c>
    </row>
    <row r="217" spans="2:7" ht="15.75" customHeight="1">
      <c r="B217" s="70" t="str">
        <f>Data!A26</f>
        <v>Orthodox Church in America, Diocese of the Midwest</v>
      </c>
      <c r="C217" s="54" t="str">
        <f>Data!B26</f>
        <v>Fr. Elijah Mueller</v>
      </c>
      <c r="D217" s="70" t="str">
        <f>Data!A33</f>
        <v>Roman Catholic Diocese of LaCrosse</v>
      </c>
      <c r="E217" s="54" t="str">
        <f>Data!B33</f>
        <v>Bishop Battersby</v>
      </c>
      <c r="F217" s="75">
        <v>2</v>
      </c>
      <c r="G217" s="70" t="s">
        <v>353</v>
      </c>
    </row>
    <row r="218" spans="2:7" ht="15.75" customHeight="1">
      <c r="B218" s="72" t="str">
        <f>Data!A30</f>
        <v>PC(USA), Winnebago Presbytery</v>
      </c>
      <c r="C218" s="55" t="str">
        <f>Data!B30</f>
        <v>Rev. Dave Colby</v>
      </c>
      <c r="D218" s="72" t="str">
        <f>Data!A40</f>
        <v>UMC - WI, South East District</v>
      </c>
      <c r="E218" s="55" t="str">
        <f>Data!B40</f>
        <v>Rev. Amanda Stein</v>
      </c>
      <c r="F218" s="76">
        <v>2</v>
      </c>
      <c r="G218" s="72" t="s">
        <v>360</v>
      </c>
    </row>
    <row r="219" spans="2:7" ht="15.75" customHeight="1">
      <c r="B219" s="70" t="str">
        <f>Data!A2</f>
        <v>African Methodist Episcopal Church, 4th District</v>
      </c>
      <c r="C219" s="54" t="str">
        <f>Data!B2</f>
        <v>Presiding Elder James Miller</v>
      </c>
      <c r="D219" s="70" t="str">
        <f>Data!A5</f>
        <v>Christian Church (Disciples of Christ) in Illinois and Wisconsin</v>
      </c>
      <c r="E219" s="54" t="str">
        <f>Data!B5</f>
        <v>Rev. Eli Rolon-Jeong</v>
      </c>
      <c r="F219" s="75">
        <v>1</v>
      </c>
      <c r="G219" s="70" t="s">
        <v>43</v>
      </c>
    </row>
    <row r="220" spans="2:7" ht="15.75" customHeight="1">
      <c r="B220" s="72" t="str">
        <f>Data!A2</f>
        <v>African Methodist Episcopal Church, 4th District</v>
      </c>
      <c r="C220" s="55" t="str">
        <f>Data!B2</f>
        <v>Presiding Elder James Miller</v>
      </c>
      <c r="D220" s="72" t="str">
        <f>Data!A8</f>
        <v>Church of the Brethren, Illinois and Wisconsin District</v>
      </c>
      <c r="E220" s="55" t="str">
        <f>Data!B8</f>
        <v>Rev. Walt Wiltshek</v>
      </c>
      <c r="F220" s="76">
        <v>1</v>
      </c>
      <c r="G220" s="72" t="s">
        <v>15</v>
      </c>
    </row>
    <row r="221" spans="2:7" ht="15.75" customHeight="1">
      <c r="B221" s="70" t="str">
        <f>Data!A2</f>
        <v>African Methodist Episcopal Church, 4th District</v>
      </c>
      <c r="C221" s="54" t="str">
        <f>Data!B2</f>
        <v>Presiding Elder James Miller</v>
      </c>
      <c r="D221" s="70" t="str">
        <f>Data!A10</f>
        <v>COGIC, Wisconsin Northwest Jurisdiction</v>
      </c>
      <c r="E221" s="54" t="str">
        <f>Data!B10</f>
        <v>Bishop CH McClelland</v>
      </c>
      <c r="F221" s="75">
        <v>1</v>
      </c>
      <c r="G221" s="70" t="s">
        <v>43</v>
      </c>
    </row>
    <row r="222" spans="2:7" ht="15.75" customHeight="1">
      <c r="B222" s="72" t="str">
        <f>Data!A2</f>
        <v>African Methodist Episcopal Church, 4th District</v>
      </c>
      <c r="C222" s="55" t="str">
        <f>Data!B2</f>
        <v>Presiding Elder James Miller</v>
      </c>
      <c r="D222" s="72" t="str">
        <f>Data!A19</f>
        <v>ELCA Northwest Synod</v>
      </c>
      <c r="E222" s="55" t="str">
        <f>Data!B19</f>
        <v>Bishop Martin Halom</v>
      </c>
      <c r="F222" s="76">
        <v>1</v>
      </c>
      <c r="G222" s="72" t="s">
        <v>69</v>
      </c>
    </row>
    <row r="223" spans="2:7" ht="15.75" customHeight="1">
      <c r="B223" s="70" t="str">
        <f>Data!A2</f>
        <v>African Methodist Episcopal Church, 4th District</v>
      </c>
      <c r="C223" s="54" t="str">
        <f>Data!B2</f>
        <v>Presiding Elder James Miller</v>
      </c>
      <c r="D223" s="70" t="str">
        <f>Data!A22</f>
        <v>Life Center Madison</v>
      </c>
      <c r="E223" s="54" t="str">
        <f>Data!B22</f>
        <v>Sr. Leader Adam Clausen</v>
      </c>
      <c r="F223" s="75">
        <v>1</v>
      </c>
      <c r="G223" s="70" t="s">
        <v>15</v>
      </c>
    </row>
    <row r="224" spans="2:7" ht="15.75" customHeight="1">
      <c r="B224" s="72" t="str">
        <f>Data!A3</f>
        <v>American Baptist Churches of Wisconsin</v>
      </c>
      <c r="C224" s="55" t="str">
        <f>Data!B3</f>
        <v>Rev. Mindi Welton-Mitchell</v>
      </c>
      <c r="D224" s="72" t="str">
        <f>Data!A5</f>
        <v>Christian Church (Disciples of Christ) in Illinois and Wisconsin</v>
      </c>
      <c r="E224" s="55" t="str">
        <f>Data!B5</f>
        <v>Rev. Eli Rolon-Jeong</v>
      </c>
      <c r="F224" s="76">
        <v>1</v>
      </c>
      <c r="G224" s="72" t="s">
        <v>43</v>
      </c>
    </row>
    <row r="225" spans="2:7" ht="15.75" customHeight="1">
      <c r="B225" s="70" t="str">
        <f>Data!A3</f>
        <v>American Baptist Churches of Wisconsin</v>
      </c>
      <c r="C225" s="54" t="str">
        <f>Data!B3</f>
        <v>Rev. Mindi Welton-Mitchell</v>
      </c>
      <c r="D225" s="70" t="str">
        <f>Data!A8</f>
        <v>Church of the Brethren, Illinois and Wisconsin District</v>
      </c>
      <c r="E225" s="54" t="str">
        <f>Data!B8</f>
        <v>Rev. Walt Wiltshek</v>
      </c>
      <c r="F225" s="75">
        <v>1</v>
      </c>
      <c r="G225" s="70" t="s">
        <v>15</v>
      </c>
    </row>
    <row r="226" spans="2:7" ht="15.75" customHeight="1">
      <c r="B226" s="72" t="str">
        <f>Data!A3</f>
        <v>American Baptist Churches of Wisconsin</v>
      </c>
      <c r="C226" s="55" t="str">
        <f>Data!B3</f>
        <v>Rev. Mindi Welton-Mitchell</v>
      </c>
      <c r="D226" s="72" t="str">
        <f>Data!A10</f>
        <v>COGIC, Wisconsin Northwest Jurisdiction</v>
      </c>
      <c r="E226" s="55" t="str">
        <f>Data!B10</f>
        <v>Bishop CH McClelland</v>
      </c>
      <c r="F226" s="76">
        <v>1</v>
      </c>
      <c r="G226" s="72" t="s">
        <v>43</v>
      </c>
    </row>
    <row r="227" spans="2:7" ht="15.75" customHeight="1">
      <c r="B227" s="70" t="str">
        <f>Data!A3</f>
        <v>American Baptist Churches of Wisconsin</v>
      </c>
      <c r="C227" s="54" t="str">
        <f>Data!B3</f>
        <v>Rev. Mindi Welton-Mitchell</v>
      </c>
      <c r="D227" s="70" t="str">
        <f>Data!A19</f>
        <v>ELCA Northwest Synod</v>
      </c>
      <c r="E227" s="54" t="str">
        <f>Data!B19</f>
        <v>Bishop Martin Halom</v>
      </c>
      <c r="F227" s="75">
        <v>1</v>
      </c>
      <c r="G227" s="70" t="s">
        <v>69</v>
      </c>
    </row>
    <row r="228" spans="2:7" ht="15.75" customHeight="1">
      <c r="B228" s="72" t="str">
        <f>Data!A3</f>
        <v>American Baptist Churches of Wisconsin</v>
      </c>
      <c r="C228" s="55" t="str">
        <f>Data!B3</f>
        <v>Rev. Mindi Welton-Mitchell</v>
      </c>
      <c r="D228" s="72" t="str">
        <f>Data!A22</f>
        <v>Life Center Madison</v>
      </c>
      <c r="E228" s="55" t="str">
        <f>Data!B22</f>
        <v>Sr. Leader Adam Clausen</v>
      </c>
      <c r="F228" s="76">
        <v>1</v>
      </c>
      <c r="G228" s="72" t="s">
        <v>15</v>
      </c>
    </row>
    <row r="229" spans="2:7" ht="15.75" customHeight="1">
      <c r="B229" s="70" t="str">
        <f>Data!A4</f>
        <v>Armenian Orthodox Church, Eastern Diocese</v>
      </c>
      <c r="C229" s="54" t="str">
        <f>Data!B4</f>
        <v>Father Yeprem Kelegian</v>
      </c>
      <c r="D229" s="70" t="str">
        <f>Data!A5</f>
        <v>Christian Church (Disciples of Christ) in Illinois and Wisconsin</v>
      </c>
      <c r="E229" s="54" t="str">
        <f>Data!B5</f>
        <v>Rev. Eli Rolon-Jeong</v>
      </c>
      <c r="F229" s="75">
        <v>1</v>
      </c>
      <c r="G229" s="70" t="s">
        <v>43</v>
      </c>
    </row>
    <row r="230" spans="2:7" ht="15.75" customHeight="1">
      <c r="B230" s="72" t="str">
        <f>Data!A4</f>
        <v>Armenian Orthodox Church, Eastern Diocese</v>
      </c>
      <c r="C230" s="55" t="str">
        <f>Data!B4</f>
        <v>Father Yeprem Kelegian</v>
      </c>
      <c r="D230" s="72" t="str">
        <f>Data!A6</f>
        <v>Christian Methodist Episcopal Church, Third Episcopal District</v>
      </c>
      <c r="E230" s="55" t="str">
        <f>Data!B6</f>
        <v>Elder Tiggs Washington</v>
      </c>
      <c r="F230" s="76">
        <v>1</v>
      </c>
      <c r="G230" s="72" t="s">
        <v>43</v>
      </c>
    </row>
    <row r="231" spans="2:7" ht="15.75" customHeight="1">
      <c r="B231" s="70" t="str">
        <f>Data!A4</f>
        <v>Armenian Orthodox Church, Eastern Diocese</v>
      </c>
      <c r="C231" s="54" t="str">
        <f>Data!B4</f>
        <v>Father Yeprem Kelegian</v>
      </c>
      <c r="D231" s="70" t="str">
        <f>Data!A10</f>
        <v>COGIC, Wisconsin Northwest Jurisdiction</v>
      </c>
      <c r="E231" s="54" t="str">
        <f>Data!B10</f>
        <v>Bishop CH McClelland</v>
      </c>
      <c r="F231" s="75">
        <v>1</v>
      </c>
      <c r="G231" s="70" t="s">
        <v>43</v>
      </c>
    </row>
    <row r="232" spans="2:7" ht="15.75" customHeight="1">
      <c r="B232" s="72" t="str">
        <f>Data!A4</f>
        <v>Armenian Orthodox Church, Eastern Diocese</v>
      </c>
      <c r="C232" s="55" t="str">
        <f>Data!B4</f>
        <v>Father Yeprem Kelegian</v>
      </c>
      <c r="D232" s="72" t="str">
        <f>Data!A12</f>
        <v>Community of Christ Headwaters Mission Center</v>
      </c>
      <c r="E232" s="55" t="str">
        <f>Data!B12</f>
        <v>Mr. Matt Davisdon</v>
      </c>
      <c r="F232" s="76">
        <v>1</v>
      </c>
      <c r="G232" s="72" t="s">
        <v>43</v>
      </c>
    </row>
    <row r="233" spans="2:7" ht="15.75" customHeight="1">
      <c r="B233" s="70" t="str">
        <f>Data!A4</f>
        <v>Armenian Orthodox Church, Eastern Diocese</v>
      </c>
      <c r="C233" s="54" t="str">
        <f>Data!B4</f>
        <v>Father Yeprem Kelegian</v>
      </c>
      <c r="D233" s="70" t="str">
        <f>Data!A13</f>
        <v>Coptic Orthodox Church</v>
      </c>
      <c r="E233" s="54" t="str">
        <f>Data!B13</f>
        <v>Fr. Gergis (msn)/ Fr. Awadalla (mke)</v>
      </c>
      <c r="F233" s="75">
        <v>1</v>
      </c>
      <c r="G233" s="70" t="s">
        <v>43</v>
      </c>
    </row>
    <row r="234" spans="2:7" ht="15.75" customHeight="1">
      <c r="B234" s="72" t="str">
        <f>Data!A4</f>
        <v>Armenian Orthodox Church, Eastern Diocese</v>
      </c>
      <c r="C234" s="55" t="str">
        <f>Data!B4</f>
        <v>Father Yeprem Kelegian</v>
      </c>
      <c r="D234" s="72" t="str">
        <f>Data!A20</f>
        <v>ELCA South-Central Synod</v>
      </c>
      <c r="E234" s="55" t="str">
        <f>Data!B20</f>
        <v>Bishop Joy Mortensen-Weibe</v>
      </c>
      <c r="F234" s="76">
        <v>1</v>
      </c>
      <c r="G234" s="72" t="s">
        <v>25</v>
      </c>
    </row>
    <row r="235" spans="2:7" ht="15.75" customHeight="1">
      <c r="B235" s="70" t="str">
        <f>Data!A4</f>
        <v>Armenian Orthodox Church, Eastern Diocese</v>
      </c>
      <c r="C235" s="54" t="str">
        <f>Data!B4</f>
        <v>Father Yeprem Kelegian</v>
      </c>
      <c r="D235" s="70" t="str">
        <f>Data!A27</f>
        <v>PC(USA), John Knox Presbytery</v>
      </c>
      <c r="E235" s="54" t="str">
        <f>Data!B27</f>
        <v>Rev. Devon Reynolds</v>
      </c>
      <c r="F235" s="75">
        <v>1</v>
      </c>
      <c r="G235" s="70" t="s">
        <v>25</v>
      </c>
    </row>
    <row r="236" spans="2:7" ht="15.75" customHeight="1">
      <c r="B236" s="72" t="str">
        <f>Data!A4</f>
        <v>Armenian Orthodox Church, Eastern Diocese</v>
      </c>
      <c r="C236" s="55" t="str">
        <f>Data!B4</f>
        <v>Father Yeprem Kelegian</v>
      </c>
      <c r="D236" s="72" t="str">
        <f>Data!A35</f>
        <v>UCC-WI, Eastern Region</v>
      </c>
      <c r="E236" s="55" t="str">
        <f>Data!B35</f>
        <v>Rev. Jane Anderson</v>
      </c>
      <c r="F236" s="76">
        <v>1</v>
      </c>
      <c r="G236" s="72" t="s">
        <v>43</v>
      </c>
    </row>
    <row r="237" spans="2:7" ht="15.75" customHeight="1">
      <c r="B237" s="70" t="str">
        <f>Data!A4</f>
        <v>Armenian Orthodox Church, Eastern Diocese</v>
      </c>
      <c r="C237" s="54" t="str">
        <f>Data!B4</f>
        <v>Father Yeprem Kelegian</v>
      </c>
      <c r="D237" s="70" t="str">
        <f>Data!A41</f>
        <v>UMC - WI, South West District</v>
      </c>
      <c r="E237" s="54" t="str">
        <f>Data!B41</f>
        <v>Rev. In Sun Lee</v>
      </c>
      <c r="F237" s="75">
        <v>1</v>
      </c>
      <c r="G237" s="70" t="s">
        <v>25</v>
      </c>
    </row>
    <row r="238" spans="2:7" ht="15.75" customHeight="1">
      <c r="B238" s="72" t="str">
        <f>Data!A5</f>
        <v>Christian Church (Disciples of Christ) in Illinois and Wisconsin</v>
      </c>
      <c r="C238" s="55" t="str">
        <f>Data!B5</f>
        <v>Rev. Eli Rolon-Jeong</v>
      </c>
      <c r="D238" s="72" t="str">
        <f>Data!A6</f>
        <v>Christian Methodist Episcopal Church, Third Episcopal District</v>
      </c>
      <c r="E238" s="55" t="str">
        <f>Data!B6</f>
        <v>Elder Tiggs Washington</v>
      </c>
      <c r="F238" s="76">
        <v>1</v>
      </c>
      <c r="G238" s="72" t="s">
        <v>43</v>
      </c>
    </row>
    <row r="239" spans="2:7" ht="15.75" customHeight="1">
      <c r="B239" s="70" t="str">
        <f>Data!A5</f>
        <v>Christian Church (Disciples of Christ) in Illinois and Wisconsin</v>
      </c>
      <c r="C239" s="54" t="str">
        <f>Data!B5</f>
        <v>Rev. Eli Rolon-Jeong</v>
      </c>
      <c r="D239" s="70" t="str">
        <f>Data!A9</f>
        <v>COGIC, Wisconsin First Jurisdiction</v>
      </c>
      <c r="E239" s="54" t="str">
        <f>Data!B9</f>
        <v>Bishop Darrell Hines, Sr.</v>
      </c>
      <c r="F239" s="75">
        <v>1</v>
      </c>
      <c r="G239" s="70" t="s">
        <v>43</v>
      </c>
    </row>
    <row r="240" spans="2:7" ht="15.75" customHeight="1">
      <c r="B240" s="72" t="str">
        <f>Data!A5</f>
        <v>Christian Church (Disciples of Christ) in Illinois and Wisconsin</v>
      </c>
      <c r="C240" s="55" t="str">
        <f>Data!B5</f>
        <v>Rev. Eli Rolon-Jeong</v>
      </c>
      <c r="D240" s="72" t="str">
        <f>Data!A10</f>
        <v>COGIC, Wisconsin Northwest Jurisdiction</v>
      </c>
      <c r="E240" s="55" t="str">
        <f>Data!B10</f>
        <v>Bishop CH McClelland</v>
      </c>
      <c r="F240" s="76">
        <v>1</v>
      </c>
      <c r="G240" s="72" t="s">
        <v>43</v>
      </c>
    </row>
    <row r="241" spans="2:7" ht="15.75" customHeight="1">
      <c r="B241" s="70" t="str">
        <f>Data!A5</f>
        <v>Christian Church (Disciples of Christ) in Illinois and Wisconsin</v>
      </c>
      <c r="C241" s="54" t="str">
        <f>Data!B5</f>
        <v>Rev. Eli Rolon-Jeong</v>
      </c>
      <c r="D241" s="70" t="str">
        <f>Data!A12</f>
        <v>Community of Christ Headwaters Mission Center</v>
      </c>
      <c r="E241" s="54" t="str">
        <f>Data!B12</f>
        <v>Mr. Matt Davisdon</v>
      </c>
      <c r="F241" s="75">
        <v>1</v>
      </c>
      <c r="G241" s="70" t="s">
        <v>43</v>
      </c>
    </row>
    <row r="242" spans="2:7" ht="15.75" customHeight="1">
      <c r="B242" s="72" t="str">
        <f>Data!A5</f>
        <v>Christian Church (Disciples of Christ) in Illinois and Wisconsin</v>
      </c>
      <c r="C242" s="55" t="str">
        <f>Data!B5</f>
        <v>Rev. Eli Rolon-Jeong</v>
      </c>
      <c r="D242" s="72" t="str">
        <f>Data!A13</f>
        <v>Coptic Orthodox Church</v>
      </c>
      <c r="E242" s="55" t="str">
        <f>Data!B13</f>
        <v>Fr. Gergis (msn)/ Fr. Awadalla (mke)</v>
      </c>
      <c r="F242" s="76">
        <v>1</v>
      </c>
      <c r="G242" s="72" t="s">
        <v>43</v>
      </c>
    </row>
    <row r="243" spans="2:7" ht="15.75" customHeight="1">
      <c r="B243" s="70" t="str">
        <f>Data!A5</f>
        <v>Christian Church (Disciples of Christ) in Illinois and Wisconsin</v>
      </c>
      <c r="C243" s="54" t="str">
        <f>Data!B5</f>
        <v>Rev. Eli Rolon-Jeong</v>
      </c>
      <c r="D243" s="70" t="str">
        <f>Data!A16</f>
        <v>ELCA Greater Milwaukee Synod</v>
      </c>
      <c r="E243" s="54" t="str">
        <f>Data!B16</f>
        <v>Bishop Paul Erickson</v>
      </c>
      <c r="F243" s="75">
        <v>1</v>
      </c>
      <c r="G243" s="70" t="s">
        <v>43</v>
      </c>
    </row>
    <row r="244" spans="2:7" ht="15.75" customHeight="1">
      <c r="B244" s="72" t="str">
        <f>Data!A5</f>
        <v>Christian Church (Disciples of Christ) in Illinois and Wisconsin</v>
      </c>
      <c r="C244" s="55" t="str">
        <f>Data!B5</f>
        <v>Rev. Eli Rolon-Jeong</v>
      </c>
      <c r="D244" s="72" t="str">
        <f>Data!A21</f>
        <v>Greek Orthodox Church, Diocese of Chicago</v>
      </c>
      <c r="E244" s="55" t="str">
        <f>Data!B21</f>
        <v>Father Cyprian Sas</v>
      </c>
      <c r="F244" s="76">
        <v>1</v>
      </c>
      <c r="G244" s="72" t="s">
        <v>43</v>
      </c>
    </row>
    <row r="245" spans="2:7" ht="15.75" customHeight="1">
      <c r="B245" s="70" t="str">
        <f>Data!A5</f>
        <v>Christian Church (Disciples of Christ) in Illinois and Wisconsin</v>
      </c>
      <c r="C245" s="54" t="str">
        <f>Data!B5</f>
        <v>Rev. Eli Rolon-Jeong</v>
      </c>
      <c r="D245" s="70" t="str">
        <f>Data!A23</f>
        <v>Mennonite Church USA, Central District Conference</v>
      </c>
      <c r="E245" s="54" t="str">
        <f>Data!B23</f>
        <v>Rev. Valerie Showalter at MMC</v>
      </c>
      <c r="F245" s="75">
        <v>1</v>
      </c>
      <c r="G245" s="70" t="s">
        <v>43</v>
      </c>
    </row>
    <row r="246" spans="2:7" ht="15.75" customHeight="1">
      <c r="B246" s="72" t="str">
        <f>Data!A5</f>
        <v>Christian Church (Disciples of Christ) in Illinois and Wisconsin</v>
      </c>
      <c r="C246" s="55" t="str">
        <f>Data!B5</f>
        <v>Rev. Eli Rolon-Jeong</v>
      </c>
      <c r="D246" s="72" t="str">
        <f>Data!A24</f>
        <v>Metropolitan Community Churches</v>
      </c>
      <c r="E246" s="55" t="str">
        <f>Data!B24</f>
        <v>Lay Led</v>
      </c>
      <c r="F246" s="76">
        <v>1</v>
      </c>
      <c r="G246" s="72" t="s">
        <v>43</v>
      </c>
    </row>
    <row r="247" spans="2:7" ht="15.75" customHeight="1">
      <c r="B247" s="70" t="str">
        <f>Data!A5</f>
        <v>Christian Church (Disciples of Christ) in Illinois and Wisconsin</v>
      </c>
      <c r="C247" s="54" t="str">
        <f>Data!B5</f>
        <v>Rev. Eli Rolon-Jeong</v>
      </c>
      <c r="D247" s="70" t="str">
        <f>Data!A25</f>
        <v>Moravian Church, Western District</v>
      </c>
      <c r="E247" s="54" t="str">
        <f>Data!B25</f>
        <v>Jason Andersen</v>
      </c>
      <c r="F247" s="75">
        <v>1</v>
      </c>
      <c r="G247" s="70" t="s">
        <v>43</v>
      </c>
    </row>
    <row r="248" spans="2:7" ht="15.75" customHeight="1">
      <c r="B248" s="72" t="str">
        <f>Data!A5</f>
        <v>Christian Church (Disciples of Christ) in Illinois and Wisconsin</v>
      </c>
      <c r="C248" s="55" t="str">
        <f>Data!B5</f>
        <v>Rev. Eli Rolon-Jeong</v>
      </c>
      <c r="D248" s="72" t="str">
        <f>Data!A26</f>
        <v>Orthodox Church in America, Diocese of the Midwest</v>
      </c>
      <c r="E248" s="55" t="str">
        <f>Data!B26</f>
        <v>Fr. Elijah Mueller</v>
      </c>
      <c r="F248" s="76">
        <v>1</v>
      </c>
      <c r="G248" s="72" t="s">
        <v>43</v>
      </c>
    </row>
    <row r="249" spans="2:7" ht="15.75" customHeight="1">
      <c r="B249" s="70" t="str">
        <f>Data!A5</f>
        <v>Christian Church (Disciples of Christ) in Illinois and Wisconsin</v>
      </c>
      <c r="C249" s="54" t="str">
        <f>Data!B5</f>
        <v>Rev. Eli Rolon-Jeong</v>
      </c>
      <c r="D249" s="70" t="str">
        <f>Data!A28</f>
        <v>PC(USA), Milwaukee Presbytery</v>
      </c>
      <c r="E249" s="54" t="str">
        <f>Data!B28</f>
        <v>Rev. Christian Boyd, Ann Gibbs</v>
      </c>
      <c r="F249" s="75">
        <v>1</v>
      </c>
      <c r="G249" s="70" t="s">
        <v>43</v>
      </c>
    </row>
    <row r="250" spans="2:7" ht="15.75" customHeight="1">
      <c r="B250" s="72" t="str">
        <f>Data!A5</f>
        <v>Christian Church (Disciples of Christ) in Illinois and Wisconsin</v>
      </c>
      <c r="C250" s="55" t="str">
        <f>Data!B5</f>
        <v>Rev. Eli Rolon-Jeong</v>
      </c>
      <c r="D250" s="72" t="str">
        <f>Data!A31</f>
        <v>Roman Catholic Archdiocese of Milwaukee</v>
      </c>
      <c r="E250" s="55" t="str">
        <f>Data!B31</f>
        <v>Archbishop Grob</v>
      </c>
      <c r="F250" s="76">
        <v>1</v>
      </c>
      <c r="G250" s="72" t="s">
        <v>43</v>
      </c>
    </row>
    <row r="251" spans="2:7" ht="15.75" customHeight="1">
      <c r="B251" s="70" t="str">
        <f>Data!A5</f>
        <v>Christian Church (Disciples of Christ) in Illinois and Wisconsin</v>
      </c>
      <c r="C251" s="54" t="str">
        <f>Data!B5</f>
        <v>Rev. Eli Rolon-Jeong</v>
      </c>
      <c r="D251" s="70" t="str">
        <f>Data!A35</f>
        <v>UCC-WI, Eastern Region</v>
      </c>
      <c r="E251" s="54" t="str">
        <f>Data!B35</f>
        <v>Rev. Jane Anderson</v>
      </c>
      <c r="F251" s="75">
        <v>1</v>
      </c>
      <c r="G251" s="70" t="s">
        <v>43</v>
      </c>
    </row>
    <row r="252" spans="2:7" ht="15.75" customHeight="1">
      <c r="B252" s="72" t="str">
        <f>Data!A5</f>
        <v>Christian Church (Disciples of Christ) in Illinois and Wisconsin</v>
      </c>
      <c r="C252" s="55" t="str">
        <f>Data!B5</f>
        <v>Rev. Eli Rolon-Jeong</v>
      </c>
      <c r="D252" s="72" t="str">
        <f>Data!A40</f>
        <v>UMC - WI, South East District</v>
      </c>
      <c r="E252" s="55" t="str">
        <f>Data!B40</f>
        <v>Rev. Amanda Stein</v>
      </c>
      <c r="F252" s="76">
        <v>1</v>
      </c>
      <c r="G252" s="72" t="s">
        <v>43</v>
      </c>
    </row>
    <row r="253" spans="2:7" ht="15.75" customHeight="1">
      <c r="B253" s="70" t="str">
        <f>Data!A6</f>
        <v>Christian Methodist Episcopal Church, Third Episcopal District</v>
      </c>
      <c r="C253" s="54" t="str">
        <f>Data!B6</f>
        <v>Elder Tiggs Washington</v>
      </c>
      <c r="D253" s="70" t="str">
        <f>Data!A9</f>
        <v>COGIC, Wisconsin First Jurisdiction</v>
      </c>
      <c r="E253" s="54" t="str">
        <f>Data!B9</f>
        <v>Bishop Darrell Hines, Sr.</v>
      </c>
      <c r="F253" s="75">
        <v>1</v>
      </c>
      <c r="G253" s="70" t="s">
        <v>43</v>
      </c>
    </row>
    <row r="254" spans="2:7" ht="15.75" customHeight="1">
      <c r="B254" s="72" t="str">
        <f>Data!A6</f>
        <v>Christian Methodist Episcopal Church, Third Episcopal District</v>
      </c>
      <c r="C254" s="55" t="str">
        <f>Data!B6</f>
        <v>Elder Tiggs Washington</v>
      </c>
      <c r="D254" s="72" t="str">
        <f>Data!A10</f>
        <v>COGIC, Wisconsin Northwest Jurisdiction</v>
      </c>
      <c r="E254" s="55" t="str">
        <f>Data!B10</f>
        <v>Bishop CH McClelland</v>
      </c>
      <c r="F254" s="76">
        <v>1</v>
      </c>
      <c r="G254" s="72" t="s">
        <v>43</v>
      </c>
    </row>
    <row r="255" spans="2:7" ht="15.75" customHeight="1">
      <c r="B255" s="70" t="str">
        <f>Data!A6</f>
        <v>Christian Methodist Episcopal Church, Third Episcopal District</v>
      </c>
      <c r="C255" s="54" t="str">
        <f>Data!B6</f>
        <v>Elder Tiggs Washington</v>
      </c>
      <c r="D255" s="70" t="str">
        <f>Data!A13</f>
        <v>Coptic Orthodox Church</v>
      </c>
      <c r="E255" s="54" t="str">
        <f>Data!B13</f>
        <v>Fr. Gergis (msn)/ Fr. Awadalla (mke)</v>
      </c>
      <c r="F255" s="75">
        <v>1</v>
      </c>
      <c r="G255" s="70" t="s">
        <v>43</v>
      </c>
    </row>
    <row r="256" spans="2:7" ht="15.75" customHeight="1">
      <c r="B256" s="72" t="str">
        <f>Data!A6</f>
        <v>Christian Methodist Episcopal Church, Third Episcopal District</v>
      </c>
      <c r="C256" s="55" t="str">
        <f>Data!B6</f>
        <v>Elder Tiggs Washington</v>
      </c>
      <c r="D256" s="72" t="str">
        <f>Data!A16</f>
        <v>ELCA Greater Milwaukee Synod</v>
      </c>
      <c r="E256" s="55" t="str">
        <f>Data!B16</f>
        <v>Bishop Paul Erickson</v>
      </c>
      <c r="F256" s="76">
        <v>1</v>
      </c>
      <c r="G256" s="72" t="s">
        <v>43</v>
      </c>
    </row>
    <row r="257" spans="2:7" ht="15.75" customHeight="1">
      <c r="B257" s="70" t="str">
        <f>Data!A6</f>
        <v>Christian Methodist Episcopal Church, Third Episcopal District</v>
      </c>
      <c r="C257" s="54" t="str">
        <f>Data!B6</f>
        <v>Elder Tiggs Washington</v>
      </c>
      <c r="D257" s="70" t="str">
        <f>Data!A20</f>
        <v>ELCA South-Central Synod</v>
      </c>
      <c r="E257" s="54" t="str">
        <f>Data!B20</f>
        <v>Bishop Joy Mortensen-Weibe</v>
      </c>
      <c r="F257" s="75">
        <v>1</v>
      </c>
      <c r="G257" s="70" t="s">
        <v>56</v>
      </c>
    </row>
    <row r="258" spans="2:7" ht="15.75" customHeight="1">
      <c r="B258" s="72" t="str">
        <f>Data!A6</f>
        <v>Christian Methodist Episcopal Church, Third Episcopal District</v>
      </c>
      <c r="C258" s="55" t="str">
        <f>Data!B6</f>
        <v>Elder Tiggs Washington</v>
      </c>
      <c r="D258" s="72" t="str">
        <f>Data!A24</f>
        <v>Metropolitan Community Churches</v>
      </c>
      <c r="E258" s="55" t="str">
        <f>Data!B24</f>
        <v>Lay Led</v>
      </c>
      <c r="F258" s="76">
        <v>1</v>
      </c>
      <c r="G258" s="72" t="s">
        <v>43</v>
      </c>
    </row>
    <row r="259" spans="2:7" ht="15.75" customHeight="1">
      <c r="B259" s="70" t="str">
        <f>Data!A6</f>
        <v>Christian Methodist Episcopal Church, Third Episcopal District</v>
      </c>
      <c r="C259" s="54" t="str">
        <f>Data!B6</f>
        <v>Elder Tiggs Washington</v>
      </c>
      <c r="D259" s="70" t="str">
        <f>Data!A31</f>
        <v>Roman Catholic Archdiocese of Milwaukee</v>
      </c>
      <c r="E259" s="54" t="str">
        <f>Data!B31</f>
        <v>Archbishop Grob</v>
      </c>
      <c r="F259" s="75">
        <v>1</v>
      </c>
      <c r="G259" s="70" t="s">
        <v>43</v>
      </c>
    </row>
    <row r="260" spans="2:7" ht="15.75" customHeight="1">
      <c r="B260" s="72" t="str">
        <f>Data!A6</f>
        <v>Christian Methodist Episcopal Church, Third Episcopal District</v>
      </c>
      <c r="C260" s="55" t="str">
        <f>Data!B6</f>
        <v>Elder Tiggs Washington</v>
      </c>
      <c r="D260" s="72" t="str">
        <f>Data!A35</f>
        <v>UCC-WI, Eastern Region</v>
      </c>
      <c r="E260" s="55" t="str">
        <f>Data!B35</f>
        <v>Rev. Jane Anderson</v>
      </c>
      <c r="F260" s="76">
        <v>1</v>
      </c>
      <c r="G260" s="72" t="s">
        <v>43</v>
      </c>
    </row>
    <row r="261" spans="2:7" ht="15.75" customHeight="1">
      <c r="B261" s="70" t="str">
        <f>Data!A6</f>
        <v>Christian Methodist Episcopal Church, Third Episcopal District</v>
      </c>
      <c r="C261" s="54" t="str">
        <f>Data!B6</f>
        <v>Elder Tiggs Washington</v>
      </c>
      <c r="D261" s="70" t="str">
        <f>Data!A37</f>
        <v>UCC-WI, Southern Region</v>
      </c>
      <c r="E261" s="54" t="str">
        <f>Data!B37</f>
        <v>Rev. Rachel Bauman</v>
      </c>
      <c r="F261" s="75">
        <v>1</v>
      </c>
      <c r="G261" s="70" t="s">
        <v>56</v>
      </c>
    </row>
    <row r="262" spans="2:7" ht="15.75" customHeight="1">
      <c r="B262" s="72" t="str">
        <f>Data!A6</f>
        <v>Christian Methodist Episcopal Church, Third Episcopal District</v>
      </c>
      <c r="C262" s="55" t="str">
        <f>Data!B6</f>
        <v>Elder Tiggs Washington</v>
      </c>
      <c r="D262" s="72" t="str">
        <f>Data!A40</f>
        <v>UMC - WI, South East District</v>
      </c>
      <c r="E262" s="55" t="str">
        <f>Data!B40</f>
        <v>Rev. Amanda Stein</v>
      </c>
      <c r="F262" s="76">
        <v>1</v>
      </c>
      <c r="G262" s="72" t="s">
        <v>43</v>
      </c>
    </row>
    <row r="263" spans="2:7" ht="15.75" customHeight="1">
      <c r="B263" s="70" t="str">
        <f>Data!A6</f>
        <v>Christian Methodist Episcopal Church, Third Episcopal District</v>
      </c>
      <c r="C263" s="54" t="str">
        <f>Data!B6</f>
        <v>Elder Tiggs Washington</v>
      </c>
      <c r="D263" s="70" t="str">
        <f>Data!A41</f>
        <v>UMC - WI, South West District</v>
      </c>
      <c r="E263" s="54" t="str">
        <f>Data!B41</f>
        <v>Rev. In Sun Lee</v>
      </c>
      <c r="F263" s="75">
        <v>1</v>
      </c>
      <c r="G263" s="70" t="s">
        <v>56</v>
      </c>
    </row>
    <row r="264" spans="2:7" ht="15.75" customHeight="1">
      <c r="B264" s="72" t="str">
        <f>Data!A8</f>
        <v>Church of the Brethren, Illinois and Wisconsin District</v>
      </c>
      <c r="C264" s="55" t="str">
        <f>Data!B8</f>
        <v>Rev. Walt Wiltshek</v>
      </c>
      <c r="D264" s="72" t="str">
        <f>Data!A9</f>
        <v>COGIC, Wisconsin First Jurisdiction</v>
      </c>
      <c r="E264" s="55" t="str">
        <f>Data!B9</f>
        <v>Bishop Darrell Hines, Sr.</v>
      </c>
      <c r="F264" s="76">
        <v>1</v>
      </c>
      <c r="G264" s="72" t="s">
        <v>15</v>
      </c>
    </row>
    <row r="265" spans="2:7" ht="15.75" customHeight="1">
      <c r="B265" s="70" t="str">
        <f>Data!A8</f>
        <v>Church of the Brethren, Illinois and Wisconsin District</v>
      </c>
      <c r="C265" s="54" t="str">
        <f>Data!B8</f>
        <v>Rev. Walt Wiltshek</v>
      </c>
      <c r="D265" s="70" t="str">
        <f>Data!A12</f>
        <v>Community of Christ Headwaters Mission Center</v>
      </c>
      <c r="E265" s="54" t="str">
        <f>Data!B12</f>
        <v>Mr. Matt Davisdon</v>
      </c>
      <c r="F265" s="75">
        <v>1</v>
      </c>
      <c r="G265" s="70" t="s">
        <v>15</v>
      </c>
    </row>
    <row r="266" spans="2:7" ht="15.75" customHeight="1">
      <c r="B266" s="72" t="str">
        <f>Data!A8</f>
        <v>Church of the Brethren, Illinois and Wisconsin District</v>
      </c>
      <c r="C266" s="55" t="str">
        <f>Data!B8</f>
        <v>Rev. Walt Wiltshek</v>
      </c>
      <c r="D266" s="72" t="str">
        <f>Data!A13</f>
        <v>Coptic Orthodox Church</v>
      </c>
      <c r="E266" s="55" t="str">
        <f>Data!B13</f>
        <v>Fr. Gergis (msn)/ Fr. Awadalla (mke)</v>
      </c>
      <c r="F266" s="76">
        <v>1</v>
      </c>
      <c r="G266" s="72" t="s">
        <v>15</v>
      </c>
    </row>
    <row r="267" spans="2:7" ht="15.75" customHeight="1">
      <c r="B267" s="70" t="str">
        <f>Data!A8</f>
        <v>Church of the Brethren, Illinois and Wisconsin District</v>
      </c>
      <c r="C267" s="54" t="str">
        <f>Data!B8</f>
        <v>Rev. Walt Wiltshek</v>
      </c>
      <c r="D267" s="70" t="str">
        <f>Data!A20</f>
        <v>ELCA South-Central Synod</v>
      </c>
      <c r="E267" s="54" t="str">
        <f>Data!B20</f>
        <v>Bishop Joy Mortensen-Weibe</v>
      </c>
      <c r="F267" s="75">
        <v>1</v>
      </c>
      <c r="G267" s="70" t="s">
        <v>15</v>
      </c>
    </row>
    <row r="268" spans="2:7" ht="15.75" customHeight="1">
      <c r="B268" s="72" t="str">
        <f>Data!A8</f>
        <v>Church of the Brethren, Illinois and Wisconsin District</v>
      </c>
      <c r="C268" s="55" t="str">
        <f>Data!B8</f>
        <v>Rev. Walt Wiltshek</v>
      </c>
      <c r="D268" s="72" t="str">
        <f>Data!A21</f>
        <v>Greek Orthodox Church, Diocese of Chicago</v>
      </c>
      <c r="E268" s="55" t="str">
        <f>Data!B21</f>
        <v>Father Cyprian Sas</v>
      </c>
      <c r="F268" s="76">
        <v>1</v>
      </c>
      <c r="G268" s="72" t="s">
        <v>15</v>
      </c>
    </row>
    <row r="269" spans="2:7" ht="15.75" customHeight="1">
      <c r="B269" s="70" t="str">
        <f>Data!A8</f>
        <v>Church of the Brethren, Illinois and Wisconsin District</v>
      </c>
      <c r="C269" s="54" t="str">
        <f>Data!B8</f>
        <v>Rev. Walt Wiltshek</v>
      </c>
      <c r="D269" s="70" t="str">
        <f>Data!A22</f>
        <v>Life Center Madison</v>
      </c>
      <c r="E269" s="54" t="str">
        <f>Data!B22</f>
        <v>Sr. Leader Adam Clausen</v>
      </c>
      <c r="F269" s="75">
        <v>1</v>
      </c>
      <c r="G269" s="70" t="s">
        <v>15</v>
      </c>
    </row>
    <row r="270" spans="2:7" ht="15.75" customHeight="1">
      <c r="B270" s="72" t="str">
        <f>Data!A8</f>
        <v>Church of the Brethren, Illinois and Wisconsin District</v>
      </c>
      <c r="C270" s="55" t="str">
        <f>Data!B8</f>
        <v>Rev. Walt Wiltshek</v>
      </c>
      <c r="D270" s="72" t="str">
        <f>Data!A23</f>
        <v>Mennonite Church USA, Central District Conference</v>
      </c>
      <c r="E270" s="55" t="str">
        <f>Data!B23</f>
        <v>Rev. Valerie Showalter at MMC</v>
      </c>
      <c r="F270" s="76">
        <v>1</v>
      </c>
      <c r="G270" s="72" t="s">
        <v>15</v>
      </c>
    </row>
    <row r="271" spans="2:7" ht="15.75" customHeight="1">
      <c r="B271" s="70" t="str">
        <f>Data!A8</f>
        <v>Church of the Brethren, Illinois and Wisconsin District</v>
      </c>
      <c r="C271" s="54" t="str">
        <f>Data!B8</f>
        <v>Rev. Walt Wiltshek</v>
      </c>
      <c r="D271" s="70" t="str">
        <f>Data!A25</f>
        <v>Moravian Church, Western District</v>
      </c>
      <c r="E271" s="54" t="str">
        <f>Data!B25</f>
        <v>Jason Andersen</v>
      </c>
      <c r="F271" s="75">
        <v>1</v>
      </c>
      <c r="G271" s="70" t="s">
        <v>15</v>
      </c>
    </row>
    <row r="272" spans="2:7" ht="15.75" customHeight="1">
      <c r="B272" s="72" t="str">
        <f>Data!A8</f>
        <v>Church of the Brethren, Illinois and Wisconsin District</v>
      </c>
      <c r="C272" s="55" t="str">
        <f>Data!B8</f>
        <v>Rev. Walt Wiltshek</v>
      </c>
      <c r="D272" s="72" t="str">
        <f>Data!A26</f>
        <v>Orthodox Church in America, Diocese of the Midwest</v>
      </c>
      <c r="E272" s="55" t="str">
        <f>Data!B26</f>
        <v>Fr. Elijah Mueller</v>
      </c>
      <c r="F272" s="76">
        <v>1</v>
      </c>
      <c r="G272" s="72" t="s">
        <v>15</v>
      </c>
    </row>
    <row r="273" spans="2:7" ht="15.75" customHeight="1">
      <c r="B273" s="70" t="str">
        <f>Data!A8</f>
        <v>Church of the Brethren, Illinois and Wisconsin District</v>
      </c>
      <c r="C273" s="54" t="str">
        <f>Data!B8</f>
        <v>Rev. Walt Wiltshek</v>
      </c>
      <c r="D273" s="70" t="str">
        <f>Data!A27</f>
        <v>PC(USA), John Knox Presbytery</v>
      </c>
      <c r="E273" s="54" t="str">
        <f>Data!B27</f>
        <v>Rev. Devon Reynolds</v>
      </c>
      <c r="F273" s="75">
        <v>1</v>
      </c>
      <c r="G273" s="70" t="s">
        <v>15</v>
      </c>
    </row>
    <row r="274" spans="2:7" ht="15.75" customHeight="1">
      <c r="B274" s="72" t="str">
        <f>Data!A8</f>
        <v>Church of the Brethren, Illinois and Wisconsin District</v>
      </c>
      <c r="C274" s="55" t="str">
        <f>Data!B8</f>
        <v>Rev. Walt Wiltshek</v>
      </c>
      <c r="D274" s="72" t="str">
        <f>Data!A37</f>
        <v>UCC-WI, Southern Region</v>
      </c>
      <c r="E274" s="55" t="str">
        <f>Data!B37</f>
        <v>Rev. Rachel Bauman</v>
      </c>
      <c r="F274" s="76">
        <v>1</v>
      </c>
      <c r="G274" s="72" t="s">
        <v>15</v>
      </c>
    </row>
    <row r="275" spans="2:7" ht="15.75" customHeight="1">
      <c r="B275" s="70" t="str">
        <f>Data!A8</f>
        <v>Church of the Brethren, Illinois and Wisconsin District</v>
      </c>
      <c r="C275" s="54" t="str">
        <f>Data!B8</f>
        <v>Rev. Walt Wiltshek</v>
      </c>
      <c r="D275" s="70" t="str">
        <f>Data!A41</f>
        <v>UMC - WI, South West District</v>
      </c>
      <c r="E275" s="54" t="str">
        <f>Data!B41</f>
        <v>Rev. In Sun Lee</v>
      </c>
      <c r="F275" s="75">
        <v>1</v>
      </c>
      <c r="G275" s="70" t="s">
        <v>15</v>
      </c>
    </row>
    <row r="276" spans="2:7" ht="15.75" customHeight="1">
      <c r="B276" s="72" t="str">
        <f>Data!A9</f>
        <v>COGIC, Wisconsin First Jurisdiction</v>
      </c>
      <c r="C276" s="55" t="str">
        <f>Data!B9</f>
        <v>Bishop Darrell Hines, Sr.</v>
      </c>
      <c r="D276" s="72" t="str">
        <f>Data!A10</f>
        <v>COGIC, Wisconsin Northwest Jurisdiction</v>
      </c>
      <c r="E276" s="55" t="str">
        <f>Data!B10</f>
        <v>Bishop CH McClelland</v>
      </c>
      <c r="F276" s="76">
        <v>1</v>
      </c>
      <c r="G276" s="72" t="s">
        <v>43</v>
      </c>
    </row>
    <row r="277" spans="2:7" ht="15.75" customHeight="1">
      <c r="B277" s="70" t="str">
        <f>Data!A9</f>
        <v>COGIC, Wisconsin First Jurisdiction</v>
      </c>
      <c r="C277" s="54" t="str">
        <f>Data!B9</f>
        <v>Bishop Darrell Hines, Sr.</v>
      </c>
      <c r="D277" s="70" t="str">
        <f>Data!A16</f>
        <v>ELCA Greater Milwaukee Synod</v>
      </c>
      <c r="E277" s="54" t="str">
        <f>Data!B16</f>
        <v>Bishop Paul Erickson</v>
      </c>
      <c r="F277" s="75">
        <v>1</v>
      </c>
      <c r="G277" s="70" t="s">
        <v>43</v>
      </c>
    </row>
    <row r="278" spans="2:7" ht="15.75" customHeight="1">
      <c r="B278" s="72" t="str">
        <f>Data!A9</f>
        <v>COGIC, Wisconsin First Jurisdiction</v>
      </c>
      <c r="C278" s="55" t="str">
        <f>Data!B9</f>
        <v>Bishop Darrell Hines, Sr.</v>
      </c>
      <c r="D278" s="72" t="str">
        <f>Data!A22</f>
        <v>Life Center Madison</v>
      </c>
      <c r="E278" s="55" t="str">
        <f>Data!B22</f>
        <v>Sr. Leader Adam Clausen</v>
      </c>
      <c r="F278" s="76">
        <v>1</v>
      </c>
      <c r="G278" s="72" t="s">
        <v>15</v>
      </c>
    </row>
    <row r="279" spans="2:7" ht="15.75" customHeight="1">
      <c r="B279" s="70" t="str">
        <f>Data!A9</f>
        <v>COGIC, Wisconsin First Jurisdiction</v>
      </c>
      <c r="C279" s="54" t="str">
        <f>Data!B9</f>
        <v>Bishop Darrell Hines, Sr.</v>
      </c>
      <c r="D279" s="70" t="str">
        <f>Data!A28</f>
        <v>PC(USA), Milwaukee Presbytery</v>
      </c>
      <c r="E279" s="54" t="str">
        <f>Data!B28</f>
        <v>Rev. Christian Boyd, Ann Gibbs</v>
      </c>
      <c r="F279" s="75">
        <v>1</v>
      </c>
      <c r="G279" s="70" t="s">
        <v>43</v>
      </c>
    </row>
    <row r="280" spans="2:7" ht="15.75" customHeight="1">
      <c r="B280" s="72" t="str">
        <f>Data!A9</f>
        <v>COGIC, Wisconsin First Jurisdiction</v>
      </c>
      <c r="C280" s="55" t="str">
        <f>Data!B9</f>
        <v>Bishop Darrell Hines, Sr.</v>
      </c>
      <c r="D280" s="72" t="str">
        <f>Data!A31</f>
        <v>Roman Catholic Archdiocese of Milwaukee</v>
      </c>
      <c r="E280" s="55" t="str">
        <f>Data!B31</f>
        <v>Archbishop Grob</v>
      </c>
      <c r="F280" s="76">
        <v>1</v>
      </c>
      <c r="G280" s="72" t="s">
        <v>43</v>
      </c>
    </row>
    <row r="281" spans="2:7" ht="15.75" customHeight="1">
      <c r="B281" s="70" t="str">
        <f>Data!A9</f>
        <v>COGIC, Wisconsin First Jurisdiction</v>
      </c>
      <c r="C281" s="54" t="str">
        <f>Data!B9</f>
        <v>Bishop Darrell Hines, Sr.</v>
      </c>
      <c r="D281" s="70" t="str">
        <f>Data!A35</f>
        <v>UCC-WI, Eastern Region</v>
      </c>
      <c r="E281" s="54" t="str">
        <f>Data!B35</f>
        <v>Rev. Jane Anderson</v>
      </c>
      <c r="F281" s="75">
        <v>1</v>
      </c>
      <c r="G281" s="70" t="s">
        <v>43</v>
      </c>
    </row>
    <row r="282" spans="2:7" ht="15.75" customHeight="1">
      <c r="B282" s="72" t="str">
        <f>Data!A9</f>
        <v>COGIC, Wisconsin First Jurisdiction</v>
      </c>
      <c r="C282" s="55" t="str">
        <f>Data!B9</f>
        <v>Bishop Darrell Hines, Sr.</v>
      </c>
      <c r="D282" s="72" t="str">
        <f>Data!A40</f>
        <v>UMC - WI, South East District</v>
      </c>
      <c r="E282" s="55" t="str">
        <f>Data!B40</f>
        <v>Rev. Amanda Stein</v>
      </c>
      <c r="F282" s="76">
        <v>1</v>
      </c>
      <c r="G282" s="72" t="s">
        <v>43</v>
      </c>
    </row>
    <row r="283" spans="2:7" ht="15.75" customHeight="1">
      <c r="B283" s="70" t="str">
        <f>Data!A10</f>
        <v>COGIC, Wisconsin Northwest Jurisdiction</v>
      </c>
      <c r="C283" s="54" t="str">
        <f>Data!B10</f>
        <v>Bishop CH McClelland</v>
      </c>
      <c r="D283" s="70" t="str">
        <f>Data!A12</f>
        <v>Community of Christ Headwaters Mission Center</v>
      </c>
      <c r="E283" s="54" t="str">
        <f>Data!B12</f>
        <v>Mr. Matt Davisdon</v>
      </c>
      <c r="F283" s="75">
        <v>1</v>
      </c>
      <c r="G283" s="70" t="s">
        <v>43</v>
      </c>
    </row>
    <row r="284" spans="2:7" ht="15.75" customHeight="1">
      <c r="B284" s="72" t="str">
        <f>Data!A10</f>
        <v>COGIC, Wisconsin Northwest Jurisdiction</v>
      </c>
      <c r="C284" s="55" t="str">
        <f>Data!B10</f>
        <v>Bishop CH McClelland</v>
      </c>
      <c r="D284" s="72" t="str">
        <f>Data!A13</f>
        <v>Coptic Orthodox Church</v>
      </c>
      <c r="E284" s="55" t="str">
        <f>Data!B13</f>
        <v>Fr. Gergis (msn)/ Fr. Awadalla (mke)</v>
      </c>
      <c r="F284" s="76">
        <v>1</v>
      </c>
      <c r="G284" s="72" t="s">
        <v>43</v>
      </c>
    </row>
    <row r="285" spans="2:7" ht="15.75" customHeight="1">
      <c r="B285" s="70" t="str">
        <f>Data!A10</f>
        <v>COGIC, Wisconsin Northwest Jurisdiction</v>
      </c>
      <c r="C285" s="54" t="str">
        <f>Data!B10</f>
        <v>Bishop CH McClelland</v>
      </c>
      <c r="D285" s="70" t="str">
        <f>Data!A16</f>
        <v>ELCA Greater Milwaukee Synod</v>
      </c>
      <c r="E285" s="54" t="str">
        <f>Data!B16</f>
        <v>Bishop Paul Erickson</v>
      </c>
      <c r="F285" s="75">
        <v>1</v>
      </c>
      <c r="G285" s="70" t="s">
        <v>43</v>
      </c>
    </row>
    <row r="286" spans="2:7" ht="15.75" customHeight="1">
      <c r="B286" s="72" t="str">
        <f>Data!A10</f>
        <v>COGIC, Wisconsin Northwest Jurisdiction</v>
      </c>
      <c r="C286" s="55" t="str">
        <f>Data!B10</f>
        <v>Bishop CH McClelland</v>
      </c>
      <c r="D286" s="72" t="str">
        <f>Data!A21</f>
        <v>Greek Orthodox Church, Diocese of Chicago</v>
      </c>
      <c r="E286" s="55" t="str">
        <f>Data!B21</f>
        <v>Father Cyprian Sas</v>
      </c>
      <c r="F286" s="76">
        <v>1</v>
      </c>
      <c r="G286" s="72" t="s">
        <v>43</v>
      </c>
    </row>
    <row r="287" spans="2:7" ht="15.75" customHeight="1">
      <c r="B287" s="70" t="str">
        <f>Data!A10</f>
        <v>COGIC, Wisconsin Northwest Jurisdiction</v>
      </c>
      <c r="C287" s="54" t="str">
        <f>Data!B10</f>
        <v>Bishop CH McClelland</v>
      </c>
      <c r="D287" s="70" t="str">
        <f>Data!A23</f>
        <v>Mennonite Church USA, Central District Conference</v>
      </c>
      <c r="E287" s="54" t="str">
        <f>Data!B23</f>
        <v>Rev. Valerie Showalter at MMC</v>
      </c>
      <c r="F287" s="75">
        <v>1</v>
      </c>
      <c r="G287" s="70" t="s">
        <v>43</v>
      </c>
    </row>
    <row r="288" spans="2:7" ht="15.75" customHeight="1">
      <c r="B288" s="72" t="str">
        <f>Data!A10</f>
        <v>COGIC, Wisconsin Northwest Jurisdiction</v>
      </c>
      <c r="C288" s="55" t="str">
        <f>Data!B10</f>
        <v>Bishop CH McClelland</v>
      </c>
      <c r="D288" s="72" t="str">
        <f>Data!A24</f>
        <v>Metropolitan Community Churches</v>
      </c>
      <c r="E288" s="55" t="str">
        <f>Data!B24</f>
        <v>Lay Led</v>
      </c>
      <c r="F288" s="76">
        <v>1</v>
      </c>
      <c r="G288" s="72" t="s">
        <v>43</v>
      </c>
    </row>
    <row r="289" spans="2:7" ht="15.75" customHeight="1">
      <c r="B289" s="70" t="str">
        <f>Data!A10</f>
        <v>COGIC, Wisconsin Northwest Jurisdiction</v>
      </c>
      <c r="C289" s="54" t="str">
        <f>Data!B10</f>
        <v>Bishop CH McClelland</v>
      </c>
      <c r="D289" s="70" t="str">
        <f>Data!A25</f>
        <v>Moravian Church, Western District</v>
      </c>
      <c r="E289" s="54" t="str">
        <f>Data!B25</f>
        <v>Jason Andersen</v>
      </c>
      <c r="F289" s="75">
        <v>1</v>
      </c>
      <c r="G289" s="70" t="s">
        <v>43</v>
      </c>
    </row>
    <row r="290" spans="2:7" ht="15.75" customHeight="1">
      <c r="B290" s="72" t="str">
        <f>Data!A10</f>
        <v>COGIC, Wisconsin Northwest Jurisdiction</v>
      </c>
      <c r="C290" s="55" t="str">
        <f>Data!B10</f>
        <v>Bishop CH McClelland</v>
      </c>
      <c r="D290" s="72" t="str">
        <f>Data!A26</f>
        <v>Orthodox Church in America, Diocese of the Midwest</v>
      </c>
      <c r="E290" s="55" t="str">
        <f>Data!B26</f>
        <v>Fr. Elijah Mueller</v>
      </c>
      <c r="F290" s="76">
        <v>1</v>
      </c>
      <c r="G290" s="72" t="s">
        <v>43</v>
      </c>
    </row>
    <row r="291" spans="2:7" ht="15.75" customHeight="1">
      <c r="B291" s="70" t="str">
        <f>Data!A10</f>
        <v>COGIC, Wisconsin Northwest Jurisdiction</v>
      </c>
      <c r="C291" s="54" t="str">
        <f>Data!B10</f>
        <v>Bishop CH McClelland</v>
      </c>
      <c r="D291" s="70" t="str">
        <f>Data!A28</f>
        <v>PC(USA), Milwaukee Presbytery</v>
      </c>
      <c r="E291" s="54" t="str">
        <f>Data!B28</f>
        <v>Rev. Christian Boyd, Ann Gibbs</v>
      </c>
      <c r="F291" s="75">
        <v>1</v>
      </c>
      <c r="G291" s="70" t="s">
        <v>43</v>
      </c>
    </row>
    <row r="292" spans="2:7" ht="15.75" customHeight="1">
      <c r="B292" s="72" t="str">
        <f>Data!A10</f>
        <v>COGIC, Wisconsin Northwest Jurisdiction</v>
      </c>
      <c r="C292" s="55" t="str">
        <f>Data!B10</f>
        <v>Bishop CH McClelland</v>
      </c>
      <c r="D292" s="72" t="str">
        <f>Data!A31</f>
        <v>Roman Catholic Archdiocese of Milwaukee</v>
      </c>
      <c r="E292" s="55" t="str">
        <f>Data!B31</f>
        <v>Archbishop Grob</v>
      </c>
      <c r="F292" s="76">
        <v>1</v>
      </c>
      <c r="G292" s="72" t="s">
        <v>43</v>
      </c>
    </row>
    <row r="293" spans="2:7" ht="15.75" customHeight="1">
      <c r="B293" s="70" t="str">
        <f>Data!A10</f>
        <v>COGIC, Wisconsin Northwest Jurisdiction</v>
      </c>
      <c r="C293" s="54" t="str">
        <f>Data!B10</f>
        <v>Bishop CH McClelland</v>
      </c>
      <c r="D293" s="70" t="str">
        <f>Data!A35</f>
        <v>UCC-WI, Eastern Region</v>
      </c>
      <c r="E293" s="54" t="str">
        <f>Data!B35</f>
        <v>Rev. Jane Anderson</v>
      </c>
      <c r="F293" s="75">
        <v>1</v>
      </c>
      <c r="G293" s="70" t="s">
        <v>43</v>
      </c>
    </row>
    <row r="294" spans="2:7" ht="15.75" customHeight="1">
      <c r="B294" s="72" t="str">
        <f>Data!A10</f>
        <v>COGIC, Wisconsin Northwest Jurisdiction</v>
      </c>
      <c r="C294" s="55" t="str">
        <f>Data!B10</f>
        <v>Bishop CH McClelland</v>
      </c>
      <c r="D294" s="72" t="str">
        <f>Data!A40</f>
        <v>UMC - WI, South East District</v>
      </c>
      <c r="E294" s="55" t="str">
        <f>Data!B40</f>
        <v>Rev. Amanda Stein</v>
      </c>
      <c r="F294" s="76">
        <v>1</v>
      </c>
      <c r="G294" s="72" t="s">
        <v>43</v>
      </c>
    </row>
    <row r="295" spans="2:7" ht="15.75" customHeight="1">
      <c r="B295" s="70" t="str">
        <f>Data!A12</f>
        <v>Community of Christ Headwaters Mission Center</v>
      </c>
      <c r="C295" s="54" t="str">
        <f>Data!B12</f>
        <v>Mr. Matt Davisdon</v>
      </c>
      <c r="D295" s="70" t="str">
        <f>Data!A16</f>
        <v>ELCA Greater Milwaukee Synod</v>
      </c>
      <c r="E295" s="54" t="str">
        <f>Data!B16</f>
        <v>Bishop Paul Erickson</v>
      </c>
      <c r="F295" s="75">
        <v>1</v>
      </c>
      <c r="G295" s="70" t="s">
        <v>43</v>
      </c>
    </row>
    <row r="296" spans="2:7" ht="15.75" customHeight="1">
      <c r="B296" s="72" t="str">
        <f>Data!A12</f>
        <v>Community of Christ Headwaters Mission Center</v>
      </c>
      <c r="C296" s="55" t="str">
        <f>Data!B12</f>
        <v>Mr. Matt Davisdon</v>
      </c>
      <c r="D296" s="72" t="str">
        <f>Data!A17</f>
        <v>ELCA LaCrosse Area Synod</v>
      </c>
      <c r="E296" s="55" t="str">
        <f>Data!B17</f>
        <v>Bishop Felix Malpica</v>
      </c>
      <c r="F296" s="76">
        <v>1</v>
      </c>
      <c r="G296" s="72" t="s">
        <v>13</v>
      </c>
    </row>
    <row r="297" spans="2:7" ht="15.75" customHeight="1">
      <c r="B297" s="70" t="str">
        <f>Data!A12</f>
        <v>Community of Christ Headwaters Mission Center</v>
      </c>
      <c r="C297" s="54" t="str">
        <f>Data!B12</f>
        <v>Mr. Matt Davisdon</v>
      </c>
      <c r="D297" s="70" t="str">
        <f>Data!A19</f>
        <v>ELCA Northwest Synod</v>
      </c>
      <c r="E297" s="54" t="str">
        <f>Data!B19</f>
        <v>Bishop Martin Halom</v>
      </c>
      <c r="F297" s="75">
        <v>1</v>
      </c>
      <c r="G297" s="70" t="s">
        <v>49</v>
      </c>
    </row>
    <row r="298" spans="2:7" ht="15.75" customHeight="1">
      <c r="B298" s="72" t="str">
        <f>Data!A12</f>
        <v>Community of Christ Headwaters Mission Center</v>
      </c>
      <c r="C298" s="55" t="str">
        <f>Data!B12</f>
        <v>Mr. Matt Davisdon</v>
      </c>
      <c r="D298" s="72" t="str">
        <f>Data!A22</f>
        <v>Life Center Madison</v>
      </c>
      <c r="E298" s="55" t="str">
        <f>Data!B22</f>
        <v>Sr. Leader Adam Clausen</v>
      </c>
      <c r="F298" s="76">
        <v>1</v>
      </c>
      <c r="G298" s="72" t="s">
        <v>15</v>
      </c>
    </row>
    <row r="299" spans="2:7" ht="15.75" customHeight="1">
      <c r="B299" s="70" t="str">
        <f>Data!A12</f>
        <v>Community of Christ Headwaters Mission Center</v>
      </c>
      <c r="C299" s="54" t="str">
        <f>Data!B12</f>
        <v>Mr. Matt Davisdon</v>
      </c>
      <c r="D299" s="70" t="str">
        <f>Data!A24</f>
        <v>Metropolitan Community Churches</v>
      </c>
      <c r="E299" s="54" t="str">
        <f>Data!B24</f>
        <v>Lay Led</v>
      </c>
      <c r="F299" s="75">
        <v>1</v>
      </c>
      <c r="G299" s="70" t="s">
        <v>43</v>
      </c>
    </row>
    <row r="300" spans="2:7" ht="15.75" customHeight="1">
      <c r="B300" s="72" t="str">
        <f>Data!A12</f>
        <v>Community of Christ Headwaters Mission Center</v>
      </c>
      <c r="C300" s="55" t="str">
        <f>Data!B12</f>
        <v>Mr. Matt Davisdon</v>
      </c>
      <c r="D300" s="72" t="str">
        <f>Data!A29</f>
        <v>PC(USA), Northern Waters Presbytery</v>
      </c>
      <c r="E300" s="55" t="str">
        <f>Data!B29</f>
        <v>Rev. Richard Blood</v>
      </c>
      <c r="F300" s="76">
        <v>1</v>
      </c>
      <c r="G300" s="72" t="s">
        <v>49</v>
      </c>
    </row>
    <row r="301" spans="2:7" ht="15.75" customHeight="1">
      <c r="B301" s="70" t="str">
        <f>Data!A12</f>
        <v>Community of Christ Headwaters Mission Center</v>
      </c>
      <c r="C301" s="54" t="str">
        <f>Data!B12</f>
        <v>Mr. Matt Davisdon</v>
      </c>
      <c r="D301" s="70" t="str">
        <f>Data!A31</f>
        <v>Roman Catholic Archdiocese of Milwaukee</v>
      </c>
      <c r="E301" s="54" t="str">
        <f>Data!B31</f>
        <v>Archbishop Grob</v>
      </c>
      <c r="F301" s="75">
        <v>1</v>
      </c>
      <c r="G301" s="70" t="s">
        <v>43</v>
      </c>
    </row>
    <row r="302" spans="2:7" ht="15.75" customHeight="1">
      <c r="B302" s="72" t="str">
        <f>Data!A12</f>
        <v>Community of Christ Headwaters Mission Center</v>
      </c>
      <c r="C302" s="55" t="str">
        <f>Data!B12</f>
        <v>Mr. Matt Davisdon</v>
      </c>
      <c r="D302" s="72" t="str">
        <f>Data!A35</f>
        <v>UCC-WI, Eastern Region</v>
      </c>
      <c r="E302" s="55" t="str">
        <f>Data!B35</f>
        <v>Rev. Jane Anderson</v>
      </c>
      <c r="F302" s="76">
        <v>1</v>
      </c>
      <c r="G302" s="72" t="s">
        <v>43</v>
      </c>
    </row>
    <row r="303" spans="2:7" ht="15.75" customHeight="1">
      <c r="B303" s="70" t="str">
        <f>Data!A12</f>
        <v>Community of Christ Headwaters Mission Center</v>
      </c>
      <c r="C303" s="54" t="str">
        <f>Data!B12</f>
        <v>Mr. Matt Davisdon</v>
      </c>
      <c r="D303" s="70" t="str">
        <f>Data!A36</f>
        <v>UCC-WI, Northern Region</v>
      </c>
      <c r="E303" s="54" t="str">
        <f>Data!B36</f>
        <v>vacant</v>
      </c>
      <c r="F303" s="75">
        <v>1</v>
      </c>
      <c r="G303" s="70" t="s">
        <v>49</v>
      </c>
    </row>
    <row r="304" spans="2:7" ht="15.75" customHeight="1">
      <c r="B304" s="72" t="str">
        <f>Data!A12</f>
        <v>Community of Christ Headwaters Mission Center</v>
      </c>
      <c r="C304" s="55" t="str">
        <f>Data!B12</f>
        <v>Mr. Matt Davisdon</v>
      </c>
      <c r="D304" s="72" t="str">
        <f>Data!A38</f>
        <v>UMC - WI, North East District</v>
      </c>
      <c r="E304" s="55" t="str">
        <f>Data!B38</f>
        <v>Rev. M. Park Hunter</v>
      </c>
      <c r="F304" s="76">
        <v>1</v>
      </c>
      <c r="G304" s="72" t="s">
        <v>49</v>
      </c>
    </row>
    <row r="305" spans="2:7" ht="15.75" customHeight="1">
      <c r="B305" s="70" t="str">
        <f>Data!A12</f>
        <v>Community of Christ Headwaters Mission Center</v>
      </c>
      <c r="C305" s="54" t="str">
        <f>Data!B12</f>
        <v>Mr. Matt Davisdon</v>
      </c>
      <c r="D305" s="70" t="str">
        <f>Data!A38</f>
        <v>UMC - WI, North East District</v>
      </c>
      <c r="E305" s="54" t="str">
        <f>Data!B38</f>
        <v>Rev. M. Park Hunter</v>
      </c>
      <c r="F305" s="75">
        <v>1</v>
      </c>
      <c r="G305" s="70" t="s">
        <v>49</v>
      </c>
    </row>
    <row r="306" spans="2:7" ht="15.75" customHeight="1">
      <c r="B306" s="72" t="str">
        <f>Data!A12</f>
        <v>Community of Christ Headwaters Mission Center</v>
      </c>
      <c r="C306" s="55" t="str">
        <f>Data!B12</f>
        <v>Mr. Matt Davisdon</v>
      </c>
      <c r="D306" s="72" t="str">
        <f>Data!A40</f>
        <v>UMC - WI, South East District</v>
      </c>
      <c r="E306" s="55" t="str">
        <f>Data!B40</f>
        <v>Rev. Amanda Stein</v>
      </c>
      <c r="F306" s="76">
        <v>1</v>
      </c>
      <c r="G306" s="72" t="s">
        <v>43</v>
      </c>
    </row>
    <row r="307" spans="2:7" ht="15.75" customHeight="1">
      <c r="B307" s="70" t="str">
        <f>Data!A13</f>
        <v>Coptic Orthodox Church</v>
      </c>
      <c r="C307" s="54" t="str">
        <f>Data!B13</f>
        <v>Fr. Gergis (msn)/ Fr. Awadalla (mke)</v>
      </c>
      <c r="D307" s="70" t="str">
        <f>Data!A16</f>
        <v>ELCA Greater Milwaukee Synod</v>
      </c>
      <c r="E307" s="54" t="str">
        <f>Data!B16</f>
        <v>Bishop Paul Erickson</v>
      </c>
      <c r="F307" s="75">
        <v>1</v>
      </c>
      <c r="G307" s="70" t="s">
        <v>43</v>
      </c>
    </row>
    <row r="308" spans="2:7" ht="15.75" customHeight="1">
      <c r="B308" s="72" t="str">
        <f>Data!A13</f>
        <v>Coptic Orthodox Church</v>
      </c>
      <c r="C308" s="55" t="str">
        <f>Data!B13</f>
        <v>Fr. Gergis (msn)/ Fr. Awadalla (mke)</v>
      </c>
      <c r="D308" s="72" t="str">
        <f>Data!A20</f>
        <v>ELCA South-Central Synod</v>
      </c>
      <c r="E308" s="55" t="str">
        <f>Data!B20</f>
        <v>Bishop Joy Mortensen-Weibe</v>
      </c>
      <c r="F308" s="76">
        <v>1</v>
      </c>
      <c r="G308" s="72" t="s">
        <v>15</v>
      </c>
    </row>
    <row r="309" spans="2:7" ht="15.75" customHeight="1">
      <c r="B309" s="70" t="str">
        <f>Data!A13</f>
        <v>Coptic Orthodox Church</v>
      </c>
      <c r="C309" s="54" t="str">
        <f>Data!B13</f>
        <v>Fr. Gergis (msn)/ Fr. Awadalla (mke)</v>
      </c>
      <c r="D309" s="70" t="str">
        <f>Data!A22</f>
        <v>Life Center Madison</v>
      </c>
      <c r="E309" s="54" t="str">
        <f>Data!B22</f>
        <v>Sr. Leader Adam Clausen</v>
      </c>
      <c r="F309" s="75">
        <v>1</v>
      </c>
      <c r="G309" s="70" t="s">
        <v>15</v>
      </c>
    </row>
    <row r="310" spans="2:7" ht="15.75" customHeight="1">
      <c r="B310" s="72" t="str">
        <f>Data!A13</f>
        <v>Coptic Orthodox Church</v>
      </c>
      <c r="C310" s="55" t="str">
        <f>Data!B13</f>
        <v>Fr. Gergis (msn)/ Fr. Awadalla (mke)</v>
      </c>
      <c r="D310" s="72" t="str">
        <f>Data!A24</f>
        <v>Metropolitan Community Churches</v>
      </c>
      <c r="E310" s="55" t="str">
        <f>Data!B24</f>
        <v>Lay Led</v>
      </c>
      <c r="F310" s="76">
        <v>1</v>
      </c>
      <c r="G310" s="72" t="s">
        <v>43</v>
      </c>
    </row>
    <row r="311" spans="2:7" ht="15.75" customHeight="1">
      <c r="B311" s="70" t="str">
        <f>Data!A13</f>
        <v>Coptic Orthodox Church</v>
      </c>
      <c r="C311" s="54" t="str">
        <f>Data!B13</f>
        <v>Fr. Gergis (msn)/ Fr. Awadalla (mke)</v>
      </c>
      <c r="D311" s="70" t="str">
        <f>Data!A27</f>
        <v>PC(USA), John Knox Presbytery</v>
      </c>
      <c r="E311" s="54" t="str">
        <f>Data!B27</f>
        <v>Rev. Devon Reynolds</v>
      </c>
      <c r="F311" s="75">
        <v>1</v>
      </c>
      <c r="G311" s="70" t="s">
        <v>15</v>
      </c>
    </row>
    <row r="312" spans="2:7" ht="15.75" customHeight="1">
      <c r="B312" s="72" t="str">
        <f>Data!A13</f>
        <v>Coptic Orthodox Church</v>
      </c>
      <c r="C312" s="55" t="str">
        <f>Data!B13</f>
        <v>Fr. Gergis (msn)/ Fr. Awadalla (mke)</v>
      </c>
      <c r="D312" s="72" t="str">
        <f>Data!A28</f>
        <v>PC(USA), Milwaukee Presbytery</v>
      </c>
      <c r="E312" s="55" t="str">
        <f>Data!B28</f>
        <v>Rev. Christian Boyd, Ann Gibbs</v>
      </c>
      <c r="F312" s="76">
        <v>1</v>
      </c>
      <c r="G312" s="72" t="s">
        <v>43</v>
      </c>
    </row>
    <row r="313" spans="2:7" ht="15.75" customHeight="1">
      <c r="B313" s="70" t="str">
        <f>Data!A13</f>
        <v>Coptic Orthodox Church</v>
      </c>
      <c r="C313" s="54" t="str">
        <f>Data!B13</f>
        <v>Fr. Gergis (msn)/ Fr. Awadalla (mke)</v>
      </c>
      <c r="D313" s="70" t="str">
        <f>Data!A31</f>
        <v>Roman Catholic Archdiocese of Milwaukee</v>
      </c>
      <c r="E313" s="54" t="str">
        <f>Data!B31</f>
        <v>Archbishop Grob</v>
      </c>
      <c r="F313" s="75">
        <v>1</v>
      </c>
      <c r="G313" s="70" t="s">
        <v>43</v>
      </c>
    </row>
    <row r="314" spans="2:7" ht="15.75" customHeight="1">
      <c r="B314" s="72" t="str">
        <f>Data!A13</f>
        <v>Coptic Orthodox Church</v>
      </c>
      <c r="C314" s="55" t="str">
        <f>Data!B13</f>
        <v>Fr. Gergis (msn)/ Fr. Awadalla (mke)</v>
      </c>
      <c r="D314" s="72" t="str">
        <f>Data!A35</f>
        <v>UCC-WI, Eastern Region</v>
      </c>
      <c r="E314" s="55" t="str">
        <f>Data!B35</f>
        <v>Rev. Jane Anderson</v>
      </c>
      <c r="F314" s="76">
        <v>1</v>
      </c>
      <c r="G314" s="72" t="s">
        <v>43</v>
      </c>
    </row>
    <row r="315" spans="2:7" ht="15.75" customHeight="1">
      <c r="B315" s="70" t="str">
        <f>Data!A13</f>
        <v>Coptic Orthodox Church</v>
      </c>
      <c r="C315" s="54" t="str">
        <f>Data!B13</f>
        <v>Fr. Gergis (msn)/ Fr. Awadalla (mke)</v>
      </c>
      <c r="D315" s="70" t="str">
        <f>Data!A37</f>
        <v>UCC-WI, Southern Region</v>
      </c>
      <c r="E315" s="54" t="str">
        <f>Data!B37</f>
        <v>Rev. Rachel Bauman</v>
      </c>
      <c r="F315" s="75">
        <v>1</v>
      </c>
      <c r="G315" s="70" t="s">
        <v>15</v>
      </c>
    </row>
    <row r="316" spans="2:7" ht="15.75" customHeight="1">
      <c r="B316" s="72" t="str">
        <f>Data!A13</f>
        <v>Coptic Orthodox Church</v>
      </c>
      <c r="C316" s="55" t="str">
        <f>Data!B13</f>
        <v>Fr. Gergis (msn)/ Fr. Awadalla (mke)</v>
      </c>
      <c r="D316" s="72" t="str">
        <f>Data!A40</f>
        <v>UMC - WI, South East District</v>
      </c>
      <c r="E316" s="55" t="str">
        <f>Data!B40</f>
        <v>Rev. Amanda Stein</v>
      </c>
      <c r="F316" s="76">
        <v>1</v>
      </c>
      <c r="G316" s="72" t="s">
        <v>43</v>
      </c>
    </row>
    <row r="317" spans="2:7" ht="15.75" customHeight="1">
      <c r="B317" s="70" t="str">
        <f>Data!A13</f>
        <v>Coptic Orthodox Church</v>
      </c>
      <c r="C317" s="54" t="str">
        <f>Data!B13</f>
        <v>Fr. Gergis (msn)/ Fr. Awadalla (mke)</v>
      </c>
      <c r="D317" s="70" t="str">
        <f>Data!A41</f>
        <v>UMC - WI, South West District</v>
      </c>
      <c r="E317" s="54" t="str">
        <f>Data!B41</f>
        <v>Rev. In Sun Lee</v>
      </c>
      <c r="F317" s="75">
        <v>1</v>
      </c>
      <c r="G317" s="70" t="s">
        <v>15</v>
      </c>
    </row>
    <row r="318" spans="2:7" ht="15.75" customHeight="1">
      <c r="B318" s="72" t="str">
        <f>Data!A14</f>
        <v>Ecumenical Catholic Communion</v>
      </c>
      <c r="C318" s="55" t="str">
        <f>Data!B14</f>
        <v>Rev. Mimi Maki</v>
      </c>
      <c r="D318" s="72" t="str">
        <f>Data!A15</f>
        <v>ELCA East-Central Synod</v>
      </c>
      <c r="E318" s="55" t="str">
        <f>Data!B15</f>
        <v>Bishop Anne Edison Albright</v>
      </c>
      <c r="F318" s="76">
        <v>1</v>
      </c>
      <c r="G318" s="72" t="s">
        <v>73</v>
      </c>
    </row>
    <row r="319" spans="2:7" ht="15.75" customHeight="1">
      <c r="B319" s="70" t="str">
        <f>Data!A14</f>
        <v>Ecumenical Catholic Communion</v>
      </c>
      <c r="C319" s="54" t="str">
        <f>Data!B14</f>
        <v>Rev. Mimi Maki</v>
      </c>
      <c r="D319" s="70" t="str">
        <f>Data!A30</f>
        <v>PC(USA), Winnebago Presbytery</v>
      </c>
      <c r="E319" s="54" t="str">
        <f>Data!B30</f>
        <v>Rev. Dave Colby</v>
      </c>
      <c r="F319" s="75">
        <v>1</v>
      </c>
      <c r="G319" s="70" t="s">
        <v>73</v>
      </c>
    </row>
    <row r="320" spans="2:7" ht="15.75" customHeight="1">
      <c r="B320" s="72" t="str">
        <f>Data!A14</f>
        <v>Ecumenical Catholic Communion</v>
      </c>
      <c r="C320" s="55" t="str">
        <f>Data!B14</f>
        <v>Rev. Mimi Maki</v>
      </c>
      <c r="D320" s="72" t="str">
        <f>Data!A32</f>
        <v>Roman Catholic Diocese of Green Bay</v>
      </c>
      <c r="E320" s="55" t="str">
        <f>Data!B32</f>
        <v>Bishop Ricken</v>
      </c>
      <c r="F320" s="76">
        <v>1</v>
      </c>
      <c r="G320" s="72" t="s">
        <v>73</v>
      </c>
    </row>
    <row r="321" spans="2:7" ht="15.75" customHeight="1">
      <c r="B321" s="70" t="str">
        <f>Data!A14</f>
        <v>Ecumenical Catholic Communion</v>
      </c>
      <c r="C321" s="54" t="str">
        <f>Data!B14</f>
        <v>Rev. Mimi Maki</v>
      </c>
      <c r="D321" s="70" t="str">
        <f>Data!A35</f>
        <v>UCC-WI, Eastern Region</v>
      </c>
      <c r="E321" s="54" t="str">
        <f>Data!B35</f>
        <v>Rev. Jane Anderson</v>
      </c>
      <c r="F321" s="75">
        <v>1</v>
      </c>
      <c r="G321" s="70" t="s">
        <v>73</v>
      </c>
    </row>
    <row r="322" spans="2:7" ht="15.75" customHeight="1">
      <c r="B322" s="72" t="str">
        <f>Data!A15</f>
        <v>ELCA East-Central Synod</v>
      </c>
      <c r="C322" s="55" t="str">
        <f>Data!B15</f>
        <v>Bishop Anne Edison Albright</v>
      </c>
      <c r="D322" s="72" t="str">
        <f>Data!A27</f>
        <v>PC(USA), John Knox Presbytery</v>
      </c>
      <c r="E322" s="55" t="str">
        <f>Data!B27</f>
        <v>Rev. Devon Reynolds</v>
      </c>
      <c r="F322" s="76">
        <v>1</v>
      </c>
      <c r="G322" s="72" t="s">
        <v>41</v>
      </c>
    </row>
    <row r="323" spans="2:7" ht="15.75" customHeight="1">
      <c r="B323" s="70" t="str">
        <f>Data!A15</f>
        <v>ELCA East-Central Synod</v>
      </c>
      <c r="C323" s="54" t="str">
        <f>Data!B15</f>
        <v>Bishop Anne Edison Albright</v>
      </c>
      <c r="D323" s="70" t="str">
        <f>Data!A31</f>
        <v>Roman Catholic Archdiocese of Milwaukee</v>
      </c>
      <c r="E323" s="54" t="str">
        <f>Data!B31</f>
        <v>Archbishop Grob</v>
      </c>
      <c r="F323" s="75">
        <v>1</v>
      </c>
      <c r="G323" s="70" t="s">
        <v>22</v>
      </c>
    </row>
    <row r="324" spans="2:7" ht="15.75" customHeight="1">
      <c r="B324" s="72" t="str">
        <f>Data!A15</f>
        <v>ELCA East-Central Synod</v>
      </c>
      <c r="C324" s="55" t="str">
        <f>Data!B15</f>
        <v>Bishop Anne Edison Albright</v>
      </c>
      <c r="D324" s="72" t="str">
        <f>Data!A37</f>
        <v>UCC-WI, Southern Region</v>
      </c>
      <c r="E324" s="55" t="str">
        <f>Data!B37</f>
        <v>Rev. Rachel Bauman</v>
      </c>
      <c r="F324" s="76">
        <v>1</v>
      </c>
      <c r="G324" s="72" t="s">
        <v>41</v>
      </c>
    </row>
    <row r="325" spans="2:7" ht="15.75" customHeight="1">
      <c r="B325" s="70" t="str">
        <f>Data!A15</f>
        <v>ELCA East-Central Synod</v>
      </c>
      <c r="C325" s="54" t="str">
        <f>Data!B15</f>
        <v>Bishop Anne Edison Albright</v>
      </c>
      <c r="D325" s="70" t="str">
        <f>Data!A41</f>
        <v>UMC - WI, South West District</v>
      </c>
      <c r="E325" s="54" t="str">
        <f>Data!B41</f>
        <v>Rev. In Sun Lee</v>
      </c>
      <c r="F325" s="75">
        <v>1</v>
      </c>
      <c r="G325" s="70" t="s">
        <v>41</v>
      </c>
    </row>
    <row r="326" spans="2:7" ht="15.75" customHeight="1">
      <c r="B326" s="72" t="str">
        <f>Data!A16</f>
        <v>ELCA Greater Milwaukee Synod</v>
      </c>
      <c r="C326" s="55" t="str">
        <f>Data!B16</f>
        <v>Bishop Paul Erickson</v>
      </c>
      <c r="D326" s="72" t="str">
        <f>Data!A24</f>
        <v>Metropolitan Community Churches</v>
      </c>
      <c r="E326" s="55" t="str">
        <f>Data!B24</f>
        <v>Lay Led</v>
      </c>
      <c r="F326" s="76">
        <v>1</v>
      </c>
      <c r="G326" s="72" t="s">
        <v>43</v>
      </c>
    </row>
    <row r="327" spans="2:7" ht="15.75" customHeight="1">
      <c r="B327" s="70" t="str">
        <f>Data!A17</f>
        <v>ELCA LaCrosse Area Synod</v>
      </c>
      <c r="C327" s="54" t="str">
        <f>Data!B17</f>
        <v>Bishop Felix Malpica</v>
      </c>
      <c r="D327" s="70" t="str">
        <f>Data!A28</f>
        <v>PC(USA), Milwaukee Presbytery</v>
      </c>
      <c r="E327" s="54" t="str">
        <f>Data!B28</f>
        <v>Rev. Christian Boyd, Ann Gibbs</v>
      </c>
      <c r="F327" s="75">
        <v>1</v>
      </c>
      <c r="G327" s="70" t="s">
        <v>32</v>
      </c>
    </row>
    <row r="328" spans="2:7" ht="15.75" customHeight="1">
      <c r="B328" s="72" t="str">
        <f>Data!A17</f>
        <v>ELCA LaCrosse Area Synod</v>
      </c>
      <c r="C328" s="55" t="str">
        <f>Data!B17</f>
        <v>Bishop Felix Malpica</v>
      </c>
      <c r="D328" s="72" t="str">
        <f>Data!A31</f>
        <v>Roman Catholic Archdiocese of Milwaukee</v>
      </c>
      <c r="E328" s="55" t="str">
        <f>Data!B31</f>
        <v>Archbishop Grob</v>
      </c>
      <c r="F328" s="76">
        <v>1</v>
      </c>
      <c r="G328" s="72" t="s">
        <v>32</v>
      </c>
    </row>
    <row r="329" spans="2:7" ht="15.75" customHeight="1">
      <c r="B329" s="70" t="str">
        <f>Data!A17</f>
        <v>ELCA LaCrosse Area Synod</v>
      </c>
      <c r="C329" s="54" t="str">
        <f>Data!B17</f>
        <v>Bishop Felix Malpica</v>
      </c>
      <c r="D329" s="70" t="str">
        <f>Data!A40</f>
        <v>UMC - WI, South East District</v>
      </c>
      <c r="E329" s="54" t="str">
        <f>Data!B40</f>
        <v>Rev. Amanda Stein</v>
      </c>
      <c r="F329" s="75">
        <v>1</v>
      </c>
      <c r="G329" s="70" t="s">
        <v>32</v>
      </c>
    </row>
    <row r="330" spans="2:7" ht="15.75" customHeight="1">
      <c r="B330" s="72" t="str">
        <f>Data!A19</f>
        <v>ELCA Northwest Synod</v>
      </c>
      <c r="C330" s="55" t="str">
        <f>Data!B19</f>
        <v>Bishop Martin Halom</v>
      </c>
      <c r="D330" s="72" t="str">
        <f>Data!A21</f>
        <v>Greek Orthodox Church, Diocese of Chicago</v>
      </c>
      <c r="E330" s="55" t="str">
        <f>Data!B21</f>
        <v>Father Cyprian Sas</v>
      </c>
      <c r="F330" s="76">
        <v>1</v>
      </c>
      <c r="G330" s="72" t="s">
        <v>69</v>
      </c>
    </row>
    <row r="331" spans="2:7" ht="15.75" customHeight="1">
      <c r="B331" s="70" t="str">
        <f>Data!A19</f>
        <v>ELCA Northwest Synod</v>
      </c>
      <c r="C331" s="54" t="str">
        <f>Data!B19</f>
        <v>Bishop Martin Halom</v>
      </c>
      <c r="D331" s="70" t="str">
        <f>Data!A23</f>
        <v>Mennonite Church USA, Central District Conference</v>
      </c>
      <c r="E331" s="54" t="str">
        <f>Data!B23</f>
        <v>Rev. Valerie Showalter at MMC</v>
      </c>
      <c r="F331" s="75">
        <v>1</v>
      </c>
      <c r="G331" s="70" t="s">
        <v>69</v>
      </c>
    </row>
    <row r="332" spans="2:7" ht="15.75" customHeight="1">
      <c r="B332" s="72" t="str">
        <f>Data!A19</f>
        <v>ELCA Northwest Synod</v>
      </c>
      <c r="C332" s="55" t="str">
        <f>Data!B19</f>
        <v>Bishop Martin Halom</v>
      </c>
      <c r="D332" s="72" t="str">
        <f>Data!A24</f>
        <v>Metropolitan Community Churches</v>
      </c>
      <c r="E332" s="55" t="str">
        <f>Data!B24</f>
        <v>Lay Led</v>
      </c>
      <c r="F332" s="76">
        <v>1</v>
      </c>
      <c r="G332" s="72" t="s">
        <v>69</v>
      </c>
    </row>
    <row r="333" spans="2:7" ht="15.75" customHeight="1">
      <c r="B333" s="70" t="str">
        <f>Data!A19</f>
        <v>ELCA Northwest Synod</v>
      </c>
      <c r="C333" s="54" t="str">
        <f>Data!B19</f>
        <v>Bishop Martin Halom</v>
      </c>
      <c r="D333" s="70" t="str">
        <f>Data!A25</f>
        <v>Moravian Church, Western District</v>
      </c>
      <c r="E333" s="54" t="str">
        <f>Data!B25</f>
        <v>Jason Andersen</v>
      </c>
      <c r="F333" s="75">
        <v>1</v>
      </c>
      <c r="G333" s="70" t="s">
        <v>69</v>
      </c>
    </row>
    <row r="334" spans="2:7" ht="15.75" customHeight="1">
      <c r="B334" s="72" t="str">
        <f>Data!A19</f>
        <v>ELCA Northwest Synod</v>
      </c>
      <c r="C334" s="55" t="str">
        <f>Data!B19</f>
        <v>Bishop Martin Halom</v>
      </c>
      <c r="D334" s="72" t="str">
        <f>Data!A26</f>
        <v>Orthodox Church in America, Diocese of the Midwest</v>
      </c>
      <c r="E334" s="55" t="str">
        <f>Data!B26</f>
        <v>Fr. Elijah Mueller</v>
      </c>
      <c r="F334" s="76">
        <v>1</v>
      </c>
      <c r="G334" s="72" t="s">
        <v>69</v>
      </c>
    </row>
    <row r="335" spans="2:7" ht="15.75" customHeight="1">
      <c r="B335" s="70" t="str">
        <f>Data!A19</f>
        <v>ELCA Northwest Synod</v>
      </c>
      <c r="C335" s="54" t="str">
        <f>Data!B19</f>
        <v>Bishop Martin Halom</v>
      </c>
      <c r="D335" s="70" t="str">
        <f>Data!A28</f>
        <v>PC(USA), Milwaukee Presbytery</v>
      </c>
      <c r="E335" s="54" t="str">
        <f>Data!B28</f>
        <v>Rev. Christian Boyd, Ann Gibbs</v>
      </c>
      <c r="F335" s="75">
        <v>1</v>
      </c>
      <c r="G335" s="70" t="s">
        <v>69</v>
      </c>
    </row>
    <row r="336" spans="2:7" ht="15.75" customHeight="1">
      <c r="B336" s="72" t="str">
        <f>Data!A19</f>
        <v>ELCA Northwest Synod</v>
      </c>
      <c r="C336" s="55" t="str">
        <f>Data!B19</f>
        <v>Bishop Martin Halom</v>
      </c>
      <c r="D336" s="72" t="str">
        <f>Data!A31</f>
        <v>Roman Catholic Archdiocese of Milwaukee</v>
      </c>
      <c r="E336" s="55" t="str">
        <f>Data!B31</f>
        <v>Archbishop Grob</v>
      </c>
      <c r="F336" s="76">
        <v>1</v>
      </c>
      <c r="G336" s="72" t="s">
        <v>69</v>
      </c>
    </row>
    <row r="337" spans="2:7" ht="15.75" customHeight="1">
      <c r="B337" s="70" t="str">
        <f>Data!A19</f>
        <v>ELCA Northwest Synod</v>
      </c>
      <c r="C337" s="54" t="str">
        <f>Data!B19</f>
        <v>Bishop Martin Halom</v>
      </c>
      <c r="D337" s="70" t="str">
        <f>Data!A35</f>
        <v>UCC-WI, Eastern Region</v>
      </c>
      <c r="E337" s="54" t="str">
        <f>Data!B35</f>
        <v>Rev. Jane Anderson</v>
      </c>
      <c r="F337" s="75">
        <v>1</v>
      </c>
      <c r="G337" s="70" t="s">
        <v>69</v>
      </c>
    </row>
    <row r="338" spans="2:7" ht="15.75" customHeight="1">
      <c r="B338" s="72" t="str">
        <f>Data!A19</f>
        <v>ELCA Northwest Synod</v>
      </c>
      <c r="C338" s="55" t="str">
        <f>Data!B19</f>
        <v>Bishop Martin Halom</v>
      </c>
      <c r="D338" s="72" t="str">
        <f>Data!A37</f>
        <v>UCC-WI, Southern Region</v>
      </c>
      <c r="E338" s="55" t="str">
        <f>Data!B37</f>
        <v>Rev. Rachel Bauman</v>
      </c>
      <c r="F338" s="76">
        <v>1</v>
      </c>
      <c r="G338" s="72" t="s">
        <v>69</v>
      </c>
    </row>
    <row r="339" spans="2:7" ht="15.75" customHeight="1">
      <c r="B339" s="70" t="str">
        <f>Data!A19</f>
        <v>ELCA Northwest Synod</v>
      </c>
      <c r="C339" s="54" t="str">
        <f>Data!B19</f>
        <v>Bishop Martin Halom</v>
      </c>
      <c r="D339" s="70" t="str">
        <f>Data!A40</f>
        <v>UMC - WI, South East District</v>
      </c>
      <c r="E339" s="54" t="str">
        <f>Data!B40</f>
        <v>Rev. Amanda Stein</v>
      </c>
      <c r="F339" s="75">
        <v>1</v>
      </c>
      <c r="G339" s="70" t="s">
        <v>69</v>
      </c>
    </row>
    <row r="340" spans="2:7" ht="15.75" customHeight="1">
      <c r="B340" s="72" t="str">
        <f>Data!A20</f>
        <v>ELCA South-Central Synod</v>
      </c>
      <c r="C340" s="55" t="str">
        <f>Data!B20</f>
        <v>Bishop Joy Mortensen-Weibe</v>
      </c>
      <c r="D340" s="72" t="str">
        <f>Data!A22</f>
        <v>Life Center Madison</v>
      </c>
      <c r="E340" s="55" t="str">
        <f>Data!B22</f>
        <v>Sr. Leader Adam Clausen</v>
      </c>
      <c r="F340" s="76">
        <v>1</v>
      </c>
      <c r="G340" s="72" t="s">
        <v>15</v>
      </c>
    </row>
    <row r="341" spans="2:7" ht="15.75" customHeight="1">
      <c r="B341" s="70" t="str">
        <f>Data!A20</f>
        <v>ELCA South-Central Synod</v>
      </c>
      <c r="C341" s="54" t="str">
        <f>Data!B20</f>
        <v>Bishop Joy Mortensen-Weibe</v>
      </c>
      <c r="D341" s="70" t="str">
        <f>Data!A24</f>
        <v>Metropolitan Community Churches</v>
      </c>
      <c r="E341" s="54" t="str">
        <f>Data!B24</f>
        <v>Lay Led</v>
      </c>
      <c r="F341" s="75">
        <v>1</v>
      </c>
      <c r="G341" s="70" t="s">
        <v>25</v>
      </c>
    </row>
    <row r="342" spans="2:7" ht="15.75" customHeight="1">
      <c r="B342" s="72" t="str">
        <f>Data!A20</f>
        <v>ELCA South-Central Synod</v>
      </c>
      <c r="C342" s="55" t="str">
        <f>Data!B20</f>
        <v>Bishop Joy Mortensen-Weibe</v>
      </c>
      <c r="D342" s="72" t="str">
        <f>Data!A33</f>
        <v>Roman Catholic Diocese of LaCrosse</v>
      </c>
      <c r="E342" s="55" t="str">
        <f>Data!B33</f>
        <v>Bishop Battersby</v>
      </c>
      <c r="F342" s="76">
        <v>1</v>
      </c>
      <c r="G342" s="72" t="s">
        <v>55</v>
      </c>
    </row>
    <row r="343" spans="2:7" ht="15.75" customHeight="1">
      <c r="B343" s="70" t="str">
        <f>Data!A20</f>
        <v>ELCA South-Central Synod</v>
      </c>
      <c r="C343" s="54" t="str">
        <f>Data!B20</f>
        <v>Bishop Joy Mortensen-Weibe</v>
      </c>
      <c r="D343" s="70" t="str">
        <f>Data!A35</f>
        <v>UCC-WI, Eastern Region</v>
      </c>
      <c r="E343" s="54" t="str">
        <f>Data!B35</f>
        <v>Rev. Jane Anderson</v>
      </c>
      <c r="F343" s="75">
        <v>1</v>
      </c>
      <c r="G343" s="70" t="s">
        <v>16</v>
      </c>
    </row>
    <row r="344" spans="2:7" ht="15.75" customHeight="1">
      <c r="B344" s="72" t="str">
        <f>Data!A21</f>
        <v>Greek Orthodox Church, Diocese of Chicago</v>
      </c>
      <c r="C344" s="55" t="str">
        <f>Data!B21</f>
        <v>Father Cyprian Sas</v>
      </c>
      <c r="D344" s="72" t="str">
        <f>Data!A22</f>
        <v>Life Center Madison</v>
      </c>
      <c r="E344" s="55" t="str">
        <f>Data!B22</f>
        <v>Sr. Leader Adam Clausen</v>
      </c>
      <c r="F344" s="76">
        <v>1</v>
      </c>
      <c r="G344" s="72" t="s">
        <v>15</v>
      </c>
    </row>
    <row r="345" spans="2:7" ht="15.75" customHeight="1">
      <c r="B345" s="70" t="str">
        <f>Data!A22</f>
        <v>Life Center Madison</v>
      </c>
      <c r="C345" s="54" t="str">
        <f>Data!B22</f>
        <v>Sr. Leader Adam Clausen</v>
      </c>
      <c r="D345" s="70" t="str">
        <f>Data!A23</f>
        <v>Mennonite Church USA, Central District Conference</v>
      </c>
      <c r="E345" s="54" t="str">
        <f>Data!B23</f>
        <v>Rev. Valerie Showalter at MMC</v>
      </c>
      <c r="F345" s="75">
        <v>1</v>
      </c>
      <c r="G345" s="70" t="s">
        <v>15</v>
      </c>
    </row>
    <row r="346" spans="2:7" ht="15.75" customHeight="1">
      <c r="B346" s="72" t="str">
        <f>Data!A22</f>
        <v>Life Center Madison</v>
      </c>
      <c r="C346" s="55" t="str">
        <f>Data!B22</f>
        <v>Sr. Leader Adam Clausen</v>
      </c>
      <c r="D346" s="72" t="str">
        <f>Data!A25</f>
        <v>Moravian Church, Western District</v>
      </c>
      <c r="E346" s="55" t="str">
        <f>Data!B25</f>
        <v>Jason Andersen</v>
      </c>
      <c r="F346" s="76">
        <v>1</v>
      </c>
      <c r="G346" s="72" t="s">
        <v>15</v>
      </c>
    </row>
    <row r="347" spans="2:7" ht="15.75" customHeight="1">
      <c r="B347" s="70" t="str">
        <f>Data!A22</f>
        <v>Life Center Madison</v>
      </c>
      <c r="C347" s="54" t="str">
        <f>Data!B22</f>
        <v>Sr. Leader Adam Clausen</v>
      </c>
      <c r="D347" s="70" t="str">
        <f>Data!A26</f>
        <v>Orthodox Church in America, Diocese of the Midwest</v>
      </c>
      <c r="E347" s="54" t="str">
        <f>Data!B26</f>
        <v>Fr. Elijah Mueller</v>
      </c>
      <c r="F347" s="75">
        <v>1</v>
      </c>
      <c r="G347" s="70" t="s">
        <v>15</v>
      </c>
    </row>
    <row r="348" spans="2:7" ht="15.75" customHeight="1">
      <c r="B348" s="72" t="str">
        <f>Data!A22</f>
        <v>Life Center Madison</v>
      </c>
      <c r="C348" s="55" t="str">
        <f>Data!B22</f>
        <v>Sr. Leader Adam Clausen</v>
      </c>
      <c r="D348" s="72" t="str">
        <f>Data!A27</f>
        <v>PC(USA), John Knox Presbytery</v>
      </c>
      <c r="E348" s="55" t="str">
        <f>Data!B27</f>
        <v>Rev. Devon Reynolds</v>
      </c>
      <c r="F348" s="76">
        <v>1</v>
      </c>
      <c r="G348" s="72" t="s">
        <v>15</v>
      </c>
    </row>
    <row r="349" spans="2:7" ht="15.75" customHeight="1">
      <c r="B349" s="70" t="str">
        <f>Data!A22</f>
        <v>Life Center Madison</v>
      </c>
      <c r="C349" s="54" t="str">
        <f>Data!B22</f>
        <v>Sr. Leader Adam Clausen</v>
      </c>
      <c r="D349" s="70" t="str">
        <f>Data!A37</f>
        <v>UCC-WI, Southern Region</v>
      </c>
      <c r="E349" s="54" t="str">
        <f>Data!B37</f>
        <v>Rev. Rachel Bauman</v>
      </c>
      <c r="F349" s="75">
        <v>1</v>
      </c>
      <c r="G349" s="70" t="s">
        <v>15</v>
      </c>
    </row>
    <row r="350" spans="2:7" ht="15.75" customHeight="1">
      <c r="B350" s="72" t="str">
        <f>Data!A22</f>
        <v>Life Center Madison</v>
      </c>
      <c r="C350" s="55" t="str">
        <f>Data!B22</f>
        <v>Sr. Leader Adam Clausen</v>
      </c>
      <c r="D350" s="72" t="str">
        <f>Data!A41</f>
        <v>UMC - WI, South West District</v>
      </c>
      <c r="E350" s="55" t="str">
        <f>Data!B41</f>
        <v>Rev. In Sun Lee</v>
      </c>
      <c r="F350" s="76">
        <v>1</v>
      </c>
      <c r="G350" s="72" t="s">
        <v>15</v>
      </c>
    </row>
    <row r="351" spans="2:7" ht="15.75" customHeight="1">
      <c r="B351" s="70" t="str">
        <f>Data!A24</f>
        <v>Metropolitan Community Churches</v>
      </c>
      <c r="C351" s="54" t="str">
        <f>Data!B24</f>
        <v>Lay Led</v>
      </c>
      <c r="D351" s="70" t="str">
        <f>Data!A27</f>
        <v>PC(USA), John Knox Presbytery</v>
      </c>
      <c r="E351" s="54" t="str">
        <f>Data!B27</f>
        <v>Rev. Devon Reynolds</v>
      </c>
      <c r="F351" s="75">
        <v>1</v>
      </c>
      <c r="G351" s="70" t="s">
        <v>25</v>
      </c>
    </row>
    <row r="352" spans="2:7" ht="15.75" customHeight="1">
      <c r="B352" s="72" t="str">
        <f>Data!A24</f>
        <v>Metropolitan Community Churches</v>
      </c>
      <c r="C352" s="55" t="str">
        <f>Data!B24</f>
        <v>Lay Led</v>
      </c>
      <c r="D352" s="72" t="str">
        <f>Data!A30</f>
        <v>PC(USA), Winnebago Presbytery</v>
      </c>
      <c r="E352" s="55" t="str">
        <f>Data!B30</f>
        <v>Rev. Dave Colby</v>
      </c>
      <c r="F352" s="76">
        <v>1</v>
      </c>
      <c r="G352" s="72" t="s">
        <v>47</v>
      </c>
    </row>
    <row r="353" spans="2:7" ht="15.75" customHeight="1">
      <c r="B353" s="70" t="str">
        <f>Data!A24</f>
        <v>Metropolitan Community Churches</v>
      </c>
      <c r="C353" s="54" t="str">
        <f>Data!B24</f>
        <v>Lay Led</v>
      </c>
      <c r="D353" s="70" t="str">
        <f>Data!A32</f>
        <v>Roman Catholic Diocese of Green Bay</v>
      </c>
      <c r="E353" s="54" t="str">
        <f>Data!B32</f>
        <v>Bishop Ricken</v>
      </c>
      <c r="F353" s="75">
        <v>1</v>
      </c>
      <c r="G353" s="70" t="s">
        <v>47</v>
      </c>
    </row>
    <row r="354" spans="2:7" ht="15.75" customHeight="1">
      <c r="B354" s="72" t="str">
        <f>Data!A24</f>
        <v>Metropolitan Community Churches</v>
      </c>
      <c r="C354" s="55" t="str">
        <f>Data!B24</f>
        <v>Lay Led</v>
      </c>
      <c r="D354" s="72" t="str">
        <f>Data!A41</f>
        <v>UMC - WI, South West District</v>
      </c>
      <c r="E354" s="55" t="str">
        <f>Data!B41</f>
        <v>Rev. In Sun Lee</v>
      </c>
      <c r="F354" s="76">
        <v>1</v>
      </c>
      <c r="G354" s="72" t="s">
        <v>25</v>
      </c>
    </row>
    <row r="355" spans="2:7" ht="15.75" customHeight="1">
      <c r="B355" s="70" t="str">
        <f>Data!A28</f>
        <v>PC(USA), Milwaukee Presbytery</v>
      </c>
      <c r="C355" s="54" t="str">
        <f>Data!B28</f>
        <v>Rev. Christian Boyd, Ann Gibbs</v>
      </c>
      <c r="D355" s="70" t="str">
        <f>Data!A41</f>
        <v>UMC - WI, South West District</v>
      </c>
      <c r="E355" s="54" t="str">
        <f>Data!B41</f>
        <v>Rev. In Sun Lee</v>
      </c>
      <c r="F355" s="75">
        <v>1</v>
      </c>
      <c r="G355" s="70" t="s">
        <v>56</v>
      </c>
    </row>
    <row r="356" spans="2:7" ht="15.75" customHeight="1">
      <c r="B356" s="72" t="str">
        <f>Data!A30</f>
        <v>PC(USA), Winnebago Presbytery</v>
      </c>
      <c r="C356" s="55" t="str">
        <f>Data!B30</f>
        <v>Rev. Dave Colby</v>
      </c>
      <c r="D356" s="72" t="str">
        <f>Data!A31</f>
        <v>Roman Catholic Archdiocese of Milwaukee</v>
      </c>
      <c r="E356" s="55" t="str">
        <f>Data!B31</f>
        <v>Archbishop Grob</v>
      </c>
      <c r="F356" s="76">
        <v>1</v>
      </c>
      <c r="G356" s="72" t="s">
        <v>22</v>
      </c>
    </row>
    <row r="357" spans="2:7" ht="15.75" customHeight="1">
      <c r="B357" s="70" t="str">
        <f>Data!A35</f>
        <v>UCC-WI, Eastern Region</v>
      </c>
      <c r="C357" s="54" t="str">
        <f>Data!B35</f>
        <v>Rev. Jane Anderson</v>
      </c>
      <c r="D357" s="70" t="str">
        <f>Data!A36</f>
        <v>UCC-WI, Northern Region</v>
      </c>
      <c r="E357" s="54" t="str">
        <f>Data!B36</f>
        <v>vacant</v>
      </c>
      <c r="F357" s="75">
        <v>1</v>
      </c>
      <c r="G357" s="70" t="s">
        <v>72</v>
      </c>
    </row>
    <row r="358" spans="2:7" ht="15.75" customHeight="1">
      <c r="B358" s="72" t="str">
        <f>Data!A36</f>
        <v>UCC-WI, Northern Region</v>
      </c>
      <c r="C358" s="55" t="str">
        <f>Data!B36</f>
        <v>vacant</v>
      </c>
      <c r="D358" s="72" t="str">
        <f>Data!A41</f>
        <v>UMC - WI, South West District</v>
      </c>
      <c r="E358" s="55" t="str">
        <f>Data!B41</f>
        <v>Rev. In Sun Lee</v>
      </c>
      <c r="F358" s="76">
        <v>1</v>
      </c>
      <c r="G358" s="72" t="s">
        <v>44</v>
      </c>
    </row>
    <row r="359" spans="2:7" ht="15.75" customHeight="1"/>
    <row r="360" spans="2:7" ht="15.75" customHeight="1"/>
    <row r="361" spans="2:7" ht="15.75" customHeight="1"/>
    <row r="362" spans="2:7" ht="15.75" customHeight="1"/>
    <row r="363" spans="2:7" ht="15.75" customHeight="1"/>
    <row r="364" spans="2:7" ht="15.75" customHeight="1"/>
    <row r="365" spans="2:7" ht="15.75" customHeight="1"/>
    <row r="366" spans="2:7" ht="15.75" customHeight="1"/>
    <row r="367" spans="2:7" ht="15.75" customHeight="1"/>
    <row r="368" spans="2:7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B2:G2"/>
  </mergeCells>
  <pageMargins left="0.75" right="0.75" top="1" bottom="1" header="0" footer="0"/>
  <pageSetup paperSize="9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X1000"/>
  <sheetViews>
    <sheetView showGridLines="0" workbookViewId="0">
      <pane ySplit="1" topLeftCell="A2" activePane="bottomLeft" state="frozen"/>
      <selection pane="bottomLeft" activeCell="I25" sqref="I25"/>
    </sheetView>
  </sheetViews>
  <sheetFormatPr defaultColWidth="14.41015625" defaultRowHeight="15" customHeight="1"/>
  <cols>
    <col min="1" max="1" width="42" customWidth="1"/>
    <col min="2" max="2" width="30" customWidth="1"/>
    <col min="3" max="3" width="8" customWidth="1"/>
    <col min="4" max="4" width="10" customWidth="1"/>
    <col min="5" max="76" width="5" customWidth="1"/>
  </cols>
  <sheetData>
    <row r="1" spans="1:76" ht="65.25" customHeight="1">
      <c r="A1" s="24" t="s">
        <v>366</v>
      </c>
      <c r="B1" s="24" t="s">
        <v>367</v>
      </c>
      <c r="C1" s="24" t="s">
        <v>368</v>
      </c>
      <c r="D1" s="24" t="s">
        <v>279</v>
      </c>
      <c r="E1" s="77" t="s">
        <v>3</v>
      </c>
      <c r="F1" s="78" t="s">
        <v>4</v>
      </c>
      <c r="G1" s="77" t="s">
        <v>5</v>
      </c>
      <c r="H1" s="78" t="s">
        <v>6</v>
      </c>
      <c r="I1" s="77" t="s">
        <v>7</v>
      </c>
      <c r="J1" s="78" t="s">
        <v>8</v>
      </c>
      <c r="K1" s="77" t="s">
        <v>9</v>
      </c>
      <c r="L1" s="78" t="s">
        <v>10</v>
      </c>
      <c r="M1" s="77" t="s">
        <v>11</v>
      </c>
      <c r="N1" s="78" t="s">
        <v>12</v>
      </c>
      <c r="O1" s="77" t="s">
        <v>14</v>
      </c>
      <c r="P1" s="78" t="s">
        <v>13</v>
      </c>
      <c r="Q1" s="77" t="s">
        <v>15</v>
      </c>
      <c r="R1" s="78" t="s">
        <v>16</v>
      </c>
      <c r="S1" s="77" t="s">
        <v>17</v>
      </c>
      <c r="T1" s="78" t="s">
        <v>18</v>
      </c>
      <c r="U1" s="77" t="s">
        <v>19</v>
      </c>
      <c r="V1" s="78" t="s">
        <v>20</v>
      </c>
      <c r="W1" s="77" t="s">
        <v>21</v>
      </c>
      <c r="X1" s="78" t="s">
        <v>22</v>
      </c>
      <c r="Y1" s="77" t="s">
        <v>23</v>
      </c>
      <c r="Z1" s="78" t="s">
        <v>24</v>
      </c>
      <c r="AA1" s="77" t="s">
        <v>25</v>
      </c>
      <c r="AB1" s="78" t="s">
        <v>26</v>
      </c>
      <c r="AC1" s="77" t="s">
        <v>27</v>
      </c>
      <c r="AD1" s="78" t="s">
        <v>28</v>
      </c>
      <c r="AE1" s="77" t="s">
        <v>29</v>
      </c>
      <c r="AF1" s="78" t="s">
        <v>182</v>
      </c>
      <c r="AG1" s="77" t="s">
        <v>31</v>
      </c>
      <c r="AH1" s="78" t="s">
        <v>32</v>
      </c>
      <c r="AI1" s="77" t="s">
        <v>33</v>
      </c>
      <c r="AJ1" s="78" t="s">
        <v>34</v>
      </c>
      <c r="AK1" s="77" t="s">
        <v>35</v>
      </c>
      <c r="AL1" s="78" t="s">
        <v>36</v>
      </c>
      <c r="AM1" s="77" t="s">
        <v>37</v>
      </c>
      <c r="AN1" s="78" t="s">
        <v>38</v>
      </c>
      <c r="AO1" s="77" t="s">
        <v>39</v>
      </c>
      <c r="AP1" s="78" t="s">
        <v>40</v>
      </c>
      <c r="AQ1" s="77" t="s">
        <v>41</v>
      </c>
      <c r="AR1" s="78" t="s">
        <v>42</v>
      </c>
      <c r="AS1" s="77" t="s">
        <v>43</v>
      </c>
      <c r="AT1" s="78" t="s">
        <v>44</v>
      </c>
      <c r="AU1" s="77" t="s">
        <v>45</v>
      </c>
      <c r="AV1" s="78" t="s">
        <v>46</v>
      </c>
      <c r="AW1" s="77" t="s">
        <v>47</v>
      </c>
      <c r="AX1" s="78" t="s">
        <v>48</v>
      </c>
      <c r="AY1" s="77" t="s">
        <v>49</v>
      </c>
      <c r="AZ1" s="78" t="s">
        <v>50</v>
      </c>
      <c r="BA1" s="77" t="s">
        <v>51</v>
      </c>
      <c r="BB1" s="78" t="s">
        <v>52</v>
      </c>
      <c r="BC1" s="77" t="s">
        <v>53</v>
      </c>
      <c r="BD1" s="78" t="s">
        <v>54</v>
      </c>
      <c r="BE1" s="77" t="s">
        <v>55</v>
      </c>
      <c r="BF1" s="78" t="s">
        <v>56</v>
      </c>
      <c r="BG1" s="77" t="s">
        <v>57</v>
      </c>
      <c r="BH1" s="78" t="s">
        <v>58</v>
      </c>
      <c r="BI1" s="77" t="s">
        <v>59</v>
      </c>
      <c r="BJ1" s="78" t="s">
        <v>60</v>
      </c>
      <c r="BK1" s="77" t="s">
        <v>61</v>
      </c>
      <c r="BL1" s="78" t="s">
        <v>62</v>
      </c>
      <c r="BM1" s="77" t="s">
        <v>63</v>
      </c>
      <c r="BN1" s="78" t="s">
        <v>64</v>
      </c>
      <c r="BO1" s="77" t="s">
        <v>65</v>
      </c>
      <c r="BP1" s="78" t="s">
        <v>66</v>
      </c>
      <c r="BQ1" s="77" t="s">
        <v>67</v>
      </c>
      <c r="BR1" s="78" t="s">
        <v>68</v>
      </c>
      <c r="BS1" s="77" t="s">
        <v>69</v>
      </c>
      <c r="BT1" s="78" t="s">
        <v>70</v>
      </c>
      <c r="BU1" s="77" t="s">
        <v>71</v>
      </c>
      <c r="BV1" s="78" t="s">
        <v>72</v>
      </c>
      <c r="BW1" s="77" t="s">
        <v>73</v>
      </c>
      <c r="BX1" s="78" t="s">
        <v>74</v>
      </c>
    </row>
    <row r="2" spans="1:76" ht="15.75" customHeight="1">
      <c r="A2" s="67" t="s">
        <v>77</v>
      </c>
      <c r="B2" s="79" t="s">
        <v>76</v>
      </c>
      <c r="C2" s="47" t="s">
        <v>2</v>
      </c>
      <c r="D2" s="43">
        <f t="shared" ref="D2:D41" si="0">COUNTIF(E2:BX2,"x")</f>
        <v>19</v>
      </c>
      <c r="E2" s="80"/>
      <c r="F2" s="80"/>
      <c r="G2" s="80"/>
      <c r="H2" s="80"/>
      <c r="I2" s="80"/>
      <c r="J2" s="80"/>
      <c r="K2" s="80"/>
      <c r="L2" s="80"/>
      <c r="M2" s="80"/>
      <c r="N2" s="80"/>
      <c r="O2" s="47" t="s">
        <v>78</v>
      </c>
      <c r="P2" s="47" t="s">
        <v>78</v>
      </c>
      <c r="Q2" s="47" t="s">
        <v>78</v>
      </c>
      <c r="R2" s="47" t="s">
        <v>78</v>
      </c>
      <c r="S2" s="80"/>
      <c r="T2" s="80"/>
      <c r="U2" s="80"/>
      <c r="V2" s="80"/>
      <c r="W2" s="80"/>
      <c r="X2" s="80"/>
      <c r="Y2" s="80"/>
      <c r="Z2" s="47" t="s">
        <v>78</v>
      </c>
      <c r="AA2" s="47" t="s">
        <v>78</v>
      </c>
      <c r="AB2" s="80"/>
      <c r="AC2" s="47" t="s">
        <v>78</v>
      </c>
      <c r="AD2" s="80"/>
      <c r="AE2" s="80"/>
      <c r="AF2" s="47" t="s">
        <v>78</v>
      </c>
      <c r="AG2" s="80"/>
      <c r="AH2" s="47" t="s">
        <v>78</v>
      </c>
      <c r="AI2" s="80"/>
      <c r="AJ2" s="80"/>
      <c r="AK2" s="47" t="s">
        <v>78</v>
      </c>
      <c r="AL2" s="80"/>
      <c r="AM2" s="80"/>
      <c r="AN2" s="80"/>
      <c r="AO2" s="80"/>
      <c r="AP2" s="80"/>
      <c r="AQ2" s="80"/>
      <c r="AR2" s="80"/>
      <c r="AS2" s="47" t="s">
        <v>78</v>
      </c>
      <c r="AT2" s="80"/>
      <c r="AU2" s="80"/>
      <c r="AV2" s="80"/>
      <c r="AW2" s="80"/>
      <c r="AX2" s="47" t="s">
        <v>78</v>
      </c>
      <c r="AY2" s="80"/>
      <c r="AZ2" s="80"/>
      <c r="BA2" s="80"/>
      <c r="BB2" s="80"/>
      <c r="BC2" s="80"/>
      <c r="BD2" s="47" t="s">
        <v>78</v>
      </c>
      <c r="BE2" s="47" t="s">
        <v>78</v>
      </c>
      <c r="BF2" s="47" t="s">
        <v>78</v>
      </c>
      <c r="BG2" s="80"/>
      <c r="BH2" s="47" t="s">
        <v>78</v>
      </c>
      <c r="BI2" s="80"/>
      <c r="BJ2" s="80"/>
      <c r="BK2" s="47" t="s">
        <v>78</v>
      </c>
      <c r="BL2" s="80"/>
      <c r="BM2" s="80"/>
      <c r="BN2" s="80"/>
      <c r="BO2" s="80"/>
      <c r="BP2" s="80"/>
      <c r="BQ2" s="47" t="s">
        <v>78</v>
      </c>
      <c r="BR2" s="80"/>
      <c r="BS2" s="47" t="s">
        <v>78</v>
      </c>
      <c r="BT2" s="80"/>
      <c r="BU2" s="80"/>
      <c r="BV2" s="80"/>
      <c r="BW2" s="80"/>
      <c r="BX2" s="80"/>
    </row>
    <row r="3" spans="1:76" ht="15.75" customHeight="1">
      <c r="A3" s="68" t="s">
        <v>80</v>
      </c>
      <c r="B3" s="81" t="s">
        <v>79</v>
      </c>
      <c r="C3" s="47" t="s">
        <v>2</v>
      </c>
      <c r="D3" s="46">
        <f t="shared" si="0"/>
        <v>19</v>
      </c>
      <c r="E3" s="82"/>
      <c r="F3" s="82"/>
      <c r="G3" s="82"/>
      <c r="H3" s="82"/>
      <c r="I3" s="82"/>
      <c r="J3" s="82"/>
      <c r="K3" s="82"/>
      <c r="L3" s="82"/>
      <c r="M3" s="82"/>
      <c r="N3" s="82"/>
      <c r="O3" s="47" t="s">
        <v>78</v>
      </c>
      <c r="P3" s="47" t="s">
        <v>78</v>
      </c>
      <c r="Q3" s="47" t="s">
        <v>78</v>
      </c>
      <c r="R3" s="47" t="s">
        <v>78</v>
      </c>
      <c r="S3" s="82"/>
      <c r="T3" s="82"/>
      <c r="U3" s="82"/>
      <c r="V3" s="82"/>
      <c r="W3" s="82"/>
      <c r="X3" s="82"/>
      <c r="Y3" s="82"/>
      <c r="Z3" s="47" t="s">
        <v>78</v>
      </c>
      <c r="AA3" s="47" t="s">
        <v>78</v>
      </c>
      <c r="AB3" s="82"/>
      <c r="AC3" s="47" t="s">
        <v>78</v>
      </c>
      <c r="AD3" s="82"/>
      <c r="AE3" s="82"/>
      <c r="AF3" s="47" t="s">
        <v>78</v>
      </c>
      <c r="AG3" s="82"/>
      <c r="AH3" s="47" t="s">
        <v>78</v>
      </c>
      <c r="AI3" s="82"/>
      <c r="AJ3" s="82"/>
      <c r="AK3" s="47" t="s">
        <v>78</v>
      </c>
      <c r="AL3" s="82"/>
      <c r="AM3" s="82"/>
      <c r="AN3" s="82"/>
      <c r="AO3" s="82"/>
      <c r="AP3" s="82"/>
      <c r="AQ3" s="82"/>
      <c r="AR3" s="82"/>
      <c r="AS3" s="47" t="s">
        <v>78</v>
      </c>
      <c r="AT3" s="82"/>
      <c r="AU3" s="82"/>
      <c r="AV3" s="82"/>
      <c r="AW3" s="82"/>
      <c r="AX3" s="47" t="s">
        <v>78</v>
      </c>
      <c r="AY3" s="82"/>
      <c r="AZ3" s="82"/>
      <c r="BA3" s="82"/>
      <c r="BB3" s="82"/>
      <c r="BC3" s="82"/>
      <c r="BD3" s="47" t="s">
        <v>78</v>
      </c>
      <c r="BE3" s="47" t="s">
        <v>78</v>
      </c>
      <c r="BF3" s="47" t="s">
        <v>78</v>
      </c>
      <c r="BG3" s="82"/>
      <c r="BH3" s="47" t="s">
        <v>78</v>
      </c>
      <c r="BI3" s="82"/>
      <c r="BJ3" s="82"/>
      <c r="BK3" s="47" t="s">
        <v>78</v>
      </c>
      <c r="BL3" s="82"/>
      <c r="BM3" s="82"/>
      <c r="BN3" s="82"/>
      <c r="BO3" s="82"/>
      <c r="BP3" s="82"/>
      <c r="BQ3" s="47" t="s">
        <v>78</v>
      </c>
      <c r="BR3" s="82"/>
      <c r="BS3" s="47" t="s">
        <v>78</v>
      </c>
      <c r="BT3" s="82"/>
      <c r="BU3" s="82"/>
      <c r="BV3" s="82"/>
      <c r="BW3" s="82"/>
      <c r="BX3" s="82"/>
    </row>
    <row r="4" spans="1:76" ht="15.75" customHeight="1">
      <c r="A4" s="67" t="s">
        <v>82</v>
      </c>
      <c r="B4" s="79" t="s">
        <v>81</v>
      </c>
      <c r="C4" s="47" t="s">
        <v>2</v>
      </c>
      <c r="D4" s="43">
        <f t="shared" si="0"/>
        <v>3</v>
      </c>
      <c r="E4" s="80"/>
      <c r="F4" s="80"/>
      <c r="G4" s="80"/>
      <c r="H4" s="80"/>
      <c r="I4" s="80"/>
      <c r="J4" s="80"/>
      <c r="K4" s="80"/>
      <c r="L4" s="80"/>
      <c r="M4" s="80"/>
      <c r="N4" s="80"/>
      <c r="O4" s="80"/>
      <c r="P4" s="80"/>
      <c r="Q4" s="80"/>
      <c r="R4" s="80"/>
      <c r="S4" s="80"/>
      <c r="T4" s="80"/>
      <c r="U4" s="80"/>
      <c r="V4" s="80"/>
      <c r="W4" s="80"/>
      <c r="X4" s="80"/>
      <c r="Y4" s="80"/>
      <c r="Z4" s="80"/>
      <c r="AA4" s="47" t="s">
        <v>78</v>
      </c>
      <c r="AB4" s="80"/>
      <c r="AC4" s="80"/>
      <c r="AD4" s="80"/>
      <c r="AE4" s="80"/>
      <c r="AF4" s="80"/>
      <c r="AG4" s="80"/>
      <c r="AH4" s="80"/>
      <c r="AI4" s="80"/>
      <c r="AJ4" s="80"/>
      <c r="AK4" s="80"/>
      <c r="AL4" s="80"/>
      <c r="AM4" s="80"/>
      <c r="AN4" s="80"/>
      <c r="AO4" s="80"/>
      <c r="AP4" s="80"/>
      <c r="AQ4" s="80"/>
      <c r="AR4" s="80"/>
      <c r="AS4" s="47" t="s">
        <v>78</v>
      </c>
      <c r="AT4" s="80"/>
      <c r="AU4" s="80"/>
      <c r="AV4" s="80"/>
      <c r="AW4" s="80"/>
      <c r="AX4" s="80"/>
      <c r="AY4" s="80"/>
      <c r="AZ4" s="80"/>
      <c r="BA4" s="80"/>
      <c r="BB4" s="80"/>
      <c r="BC4" s="80"/>
      <c r="BD4" s="47" t="s">
        <v>78</v>
      </c>
      <c r="BE4" s="80"/>
      <c r="BF4" s="80"/>
      <c r="BG4" s="80"/>
      <c r="BH4" s="80"/>
      <c r="BI4" s="80"/>
      <c r="BJ4" s="80"/>
      <c r="BK4" s="80"/>
      <c r="BL4" s="80"/>
      <c r="BM4" s="80"/>
      <c r="BN4" s="80"/>
      <c r="BO4" s="80"/>
      <c r="BP4" s="80"/>
      <c r="BQ4" s="80"/>
      <c r="BR4" s="80"/>
      <c r="BS4" s="80"/>
      <c r="BT4" s="80"/>
      <c r="BU4" s="80"/>
      <c r="BV4" s="80"/>
      <c r="BW4" s="80"/>
      <c r="BX4" s="80"/>
    </row>
    <row r="5" spans="1:76" ht="15.75" customHeight="1">
      <c r="A5" s="68" t="s">
        <v>84</v>
      </c>
      <c r="B5" s="81" t="s">
        <v>83</v>
      </c>
      <c r="C5" s="47" t="s">
        <v>2</v>
      </c>
      <c r="D5" s="46">
        <f t="shared" si="0"/>
        <v>1</v>
      </c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2"/>
      <c r="T5" s="82"/>
      <c r="U5" s="82"/>
      <c r="V5" s="82"/>
      <c r="W5" s="82"/>
      <c r="X5" s="82"/>
      <c r="Y5" s="82"/>
      <c r="Z5" s="82"/>
      <c r="AA5" s="82"/>
      <c r="AB5" s="82"/>
      <c r="AC5" s="82"/>
      <c r="AD5" s="82"/>
      <c r="AE5" s="82"/>
      <c r="AF5" s="82"/>
      <c r="AG5" s="82"/>
      <c r="AH5" s="82"/>
      <c r="AI5" s="82"/>
      <c r="AJ5" s="82"/>
      <c r="AK5" s="82"/>
      <c r="AL5" s="82"/>
      <c r="AM5" s="82"/>
      <c r="AN5" s="82"/>
      <c r="AO5" s="82"/>
      <c r="AP5" s="82"/>
      <c r="AQ5" s="82"/>
      <c r="AR5" s="82"/>
      <c r="AS5" s="47" t="s">
        <v>78</v>
      </c>
      <c r="AT5" s="82"/>
      <c r="AU5" s="82"/>
      <c r="AV5" s="82"/>
      <c r="AW5" s="82"/>
      <c r="AX5" s="82"/>
      <c r="AY5" s="82"/>
      <c r="AZ5" s="82"/>
      <c r="BA5" s="82"/>
      <c r="BB5" s="82"/>
      <c r="BC5" s="82"/>
      <c r="BD5" s="82"/>
      <c r="BE5" s="82"/>
      <c r="BF5" s="82"/>
      <c r="BG5" s="82"/>
      <c r="BH5" s="82"/>
      <c r="BI5" s="82"/>
      <c r="BJ5" s="82"/>
      <c r="BK5" s="82"/>
      <c r="BL5" s="82"/>
      <c r="BM5" s="82"/>
      <c r="BN5" s="82"/>
      <c r="BO5" s="82"/>
      <c r="BP5" s="82"/>
      <c r="BQ5" s="82"/>
      <c r="BR5" s="82"/>
      <c r="BS5" s="82"/>
      <c r="BT5" s="82"/>
      <c r="BU5" s="82"/>
      <c r="BV5" s="82"/>
      <c r="BW5" s="82"/>
      <c r="BX5" s="82"/>
    </row>
    <row r="6" spans="1:76" ht="15.75" customHeight="1">
      <c r="A6" s="67" t="s">
        <v>86</v>
      </c>
      <c r="B6" s="79" t="s">
        <v>85</v>
      </c>
      <c r="C6" s="47" t="s">
        <v>2</v>
      </c>
      <c r="D6" s="43">
        <f t="shared" si="0"/>
        <v>2</v>
      </c>
      <c r="E6" s="80"/>
      <c r="F6" s="80"/>
      <c r="G6" s="80"/>
      <c r="H6" s="80"/>
      <c r="I6" s="80"/>
      <c r="J6" s="80"/>
      <c r="K6" s="80"/>
      <c r="L6" s="80"/>
      <c r="M6" s="80"/>
      <c r="N6" s="80"/>
      <c r="O6" s="80"/>
      <c r="P6" s="80"/>
      <c r="Q6" s="80"/>
      <c r="R6" s="80"/>
      <c r="S6" s="80"/>
      <c r="T6" s="80"/>
      <c r="U6" s="80"/>
      <c r="V6" s="80"/>
      <c r="W6" s="80"/>
      <c r="X6" s="80"/>
      <c r="Y6" s="80"/>
      <c r="Z6" s="80"/>
      <c r="AA6" s="80"/>
      <c r="AB6" s="80"/>
      <c r="AC6" s="80"/>
      <c r="AD6" s="80"/>
      <c r="AE6" s="80"/>
      <c r="AF6" s="80"/>
      <c r="AG6" s="80"/>
      <c r="AH6" s="80"/>
      <c r="AI6" s="80"/>
      <c r="AJ6" s="80"/>
      <c r="AK6" s="80"/>
      <c r="AL6" s="80"/>
      <c r="AM6" s="80"/>
      <c r="AN6" s="80"/>
      <c r="AO6" s="80"/>
      <c r="AP6" s="80"/>
      <c r="AQ6" s="80"/>
      <c r="AR6" s="80"/>
      <c r="AS6" s="47" t="s">
        <v>78</v>
      </c>
      <c r="AT6" s="80"/>
      <c r="AU6" s="80"/>
      <c r="AV6" s="80"/>
      <c r="AW6" s="80"/>
      <c r="AX6" s="80"/>
      <c r="AY6" s="80"/>
      <c r="AZ6" s="80"/>
      <c r="BA6" s="80"/>
      <c r="BB6" s="80"/>
      <c r="BC6" s="80"/>
      <c r="BD6" s="80"/>
      <c r="BE6" s="80"/>
      <c r="BF6" s="47" t="s">
        <v>78</v>
      </c>
      <c r="BG6" s="80"/>
      <c r="BH6" s="80"/>
      <c r="BI6" s="80"/>
      <c r="BJ6" s="80"/>
      <c r="BK6" s="80"/>
      <c r="BL6" s="80"/>
      <c r="BM6" s="80"/>
      <c r="BN6" s="80"/>
      <c r="BO6" s="80"/>
      <c r="BP6" s="80"/>
      <c r="BQ6" s="80"/>
      <c r="BR6" s="80"/>
      <c r="BS6" s="80"/>
      <c r="BT6" s="80"/>
      <c r="BU6" s="80"/>
      <c r="BV6" s="80"/>
      <c r="BW6" s="80"/>
      <c r="BX6" s="80"/>
    </row>
    <row r="7" spans="1:76" ht="15.75" customHeight="1">
      <c r="A7" s="68" t="s">
        <v>88</v>
      </c>
      <c r="B7" s="81" t="s">
        <v>87</v>
      </c>
      <c r="C7" s="47" t="s">
        <v>2</v>
      </c>
      <c r="D7" s="46">
        <f t="shared" si="0"/>
        <v>0</v>
      </c>
      <c r="E7" s="82"/>
      <c r="F7" s="82"/>
      <c r="G7" s="82"/>
      <c r="H7" s="82"/>
      <c r="I7" s="82"/>
      <c r="J7" s="82"/>
      <c r="K7" s="82"/>
      <c r="L7" s="82"/>
      <c r="M7" s="82"/>
      <c r="N7" s="82"/>
      <c r="O7" s="82"/>
      <c r="P7" s="82"/>
      <c r="Q7" s="82"/>
      <c r="R7" s="82"/>
      <c r="S7" s="82"/>
      <c r="T7" s="82"/>
      <c r="U7" s="82"/>
      <c r="V7" s="82"/>
      <c r="W7" s="82"/>
      <c r="X7" s="82"/>
      <c r="Y7" s="82"/>
      <c r="Z7" s="82"/>
      <c r="AA7" s="82"/>
      <c r="AB7" s="82"/>
      <c r="AC7" s="82"/>
      <c r="AD7" s="82"/>
      <c r="AE7" s="82"/>
      <c r="AF7" s="82"/>
      <c r="AG7" s="82"/>
      <c r="AH7" s="82"/>
      <c r="AI7" s="82"/>
      <c r="AJ7" s="82"/>
      <c r="AK7" s="82"/>
      <c r="AL7" s="82"/>
      <c r="AM7" s="82"/>
      <c r="AN7" s="82"/>
      <c r="AO7" s="82"/>
      <c r="AP7" s="82"/>
      <c r="AQ7" s="82"/>
      <c r="AR7" s="82"/>
      <c r="AS7" s="82"/>
      <c r="AT7" s="82"/>
      <c r="AU7" s="82"/>
      <c r="AV7" s="82"/>
      <c r="AW7" s="82"/>
      <c r="AX7" s="82"/>
      <c r="AY7" s="82"/>
      <c r="AZ7" s="82"/>
      <c r="BA7" s="82"/>
      <c r="BB7" s="82"/>
      <c r="BC7" s="82"/>
      <c r="BD7" s="82"/>
      <c r="BE7" s="82"/>
      <c r="BF7" s="82"/>
      <c r="BG7" s="82"/>
      <c r="BH7" s="82"/>
      <c r="BI7" s="82"/>
      <c r="BJ7" s="82"/>
      <c r="BK7" s="82"/>
      <c r="BL7" s="82"/>
      <c r="BM7" s="82"/>
      <c r="BN7" s="82"/>
      <c r="BO7" s="82"/>
      <c r="BP7" s="82"/>
      <c r="BQ7" s="82"/>
      <c r="BR7" s="82"/>
      <c r="BS7" s="82"/>
      <c r="BT7" s="82"/>
      <c r="BU7" s="82"/>
      <c r="BV7" s="82"/>
      <c r="BW7" s="82"/>
      <c r="BX7" s="82"/>
    </row>
    <row r="8" spans="1:76" ht="15.75" customHeight="1">
      <c r="A8" s="67" t="s">
        <v>90</v>
      </c>
      <c r="B8" s="79" t="s">
        <v>89</v>
      </c>
      <c r="C8" s="47" t="s">
        <v>2</v>
      </c>
      <c r="D8" s="43">
        <f t="shared" si="0"/>
        <v>1</v>
      </c>
      <c r="E8" s="80"/>
      <c r="F8" s="80"/>
      <c r="G8" s="80"/>
      <c r="H8" s="80"/>
      <c r="I8" s="80"/>
      <c r="J8" s="80"/>
      <c r="K8" s="80"/>
      <c r="L8" s="80"/>
      <c r="M8" s="80"/>
      <c r="N8" s="80"/>
      <c r="O8" s="80"/>
      <c r="P8" s="80"/>
      <c r="Q8" s="47" t="s">
        <v>78</v>
      </c>
      <c r="R8" s="80"/>
      <c r="S8" s="80"/>
      <c r="T8" s="80"/>
      <c r="U8" s="80"/>
      <c r="V8" s="80"/>
      <c r="W8" s="80"/>
      <c r="X8" s="80"/>
      <c r="Y8" s="80"/>
      <c r="Z8" s="80"/>
      <c r="AA8" s="80"/>
      <c r="AB8" s="80"/>
      <c r="AC8" s="80"/>
      <c r="AD8" s="80"/>
      <c r="AE8" s="80"/>
      <c r="AF8" s="80"/>
      <c r="AG8" s="80"/>
      <c r="AH8" s="80"/>
      <c r="AI8" s="80"/>
      <c r="AJ8" s="80"/>
      <c r="AK8" s="80"/>
      <c r="AL8" s="80"/>
      <c r="AM8" s="80"/>
      <c r="AN8" s="80"/>
      <c r="AO8" s="80"/>
      <c r="AP8" s="80"/>
      <c r="AQ8" s="80"/>
      <c r="AR8" s="80"/>
      <c r="AS8" s="80"/>
      <c r="AT8" s="80"/>
      <c r="AU8" s="80"/>
      <c r="AV8" s="80"/>
      <c r="AW8" s="80"/>
      <c r="AX8" s="80"/>
      <c r="AY8" s="80"/>
      <c r="AZ8" s="80"/>
      <c r="BA8" s="80"/>
      <c r="BB8" s="80"/>
      <c r="BC8" s="80"/>
      <c r="BD8" s="80"/>
      <c r="BE8" s="80"/>
      <c r="BF8" s="80"/>
      <c r="BG8" s="80"/>
      <c r="BH8" s="80"/>
      <c r="BI8" s="80"/>
      <c r="BJ8" s="80"/>
      <c r="BK8" s="80"/>
      <c r="BL8" s="80"/>
      <c r="BM8" s="80"/>
      <c r="BN8" s="80"/>
      <c r="BO8" s="80"/>
      <c r="BP8" s="80"/>
      <c r="BQ8" s="80"/>
      <c r="BR8" s="80"/>
      <c r="BS8" s="80"/>
      <c r="BT8" s="80"/>
      <c r="BU8" s="80"/>
      <c r="BV8" s="80"/>
      <c r="BW8" s="80"/>
      <c r="BX8" s="80"/>
    </row>
    <row r="9" spans="1:76" ht="15.75" customHeight="1">
      <c r="A9" s="68" t="s">
        <v>92</v>
      </c>
      <c r="B9" s="81" t="s">
        <v>91</v>
      </c>
      <c r="C9" s="83" t="s">
        <v>93</v>
      </c>
      <c r="D9" s="46">
        <f t="shared" si="0"/>
        <v>3</v>
      </c>
      <c r="E9" s="82"/>
      <c r="F9" s="82"/>
      <c r="G9" s="82"/>
      <c r="H9" s="82"/>
      <c r="I9" s="82"/>
      <c r="J9" s="82"/>
      <c r="K9" s="82"/>
      <c r="L9" s="82"/>
      <c r="M9" s="82"/>
      <c r="N9" s="82"/>
      <c r="O9" s="82"/>
      <c r="P9" s="82"/>
      <c r="Q9" s="47" t="s">
        <v>78</v>
      </c>
      <c r="R9" s="82"/>
      <c r="S9" s="82"/>
      <c r="T9" s="82"/>
      <c r="U9" s="82"/>
      <c r="V9" s="82"/>
      <c r="W9" s="82"/>
      <c r="X9" s="82"/>
      <c r="Y9" s="82"/>
      <c r="Z9" s="82"/>
      <c r="AA9" s="47" t="s">
        <v>78</v>
      </c>
      <c r="AB9" s="82"/>
      <c r="AC9" s="82"/>
      <c r="AD9" s="82"/>
      <c r="AE9" s="82"/>
      <c r="AF9" s="82"/>
      <c r="AG9" s="82"/>
      <c r="AH9" s="82"/>
      <c r="AI9" s="82"/>
      <c r="AJ9" s="82"/>
      <c r="AK9" s="82"/>
      <c r="AL9" s="82"/>
      <c r="AM9" s="82"/>
      <c r="AN9" s="82"/>
      <c r="AO9" s="82"/>
      <c r="AP9" s="82"/>
      <c r="AQ9" s="82"/>
      <c r="AR9" s="82"/>
      <c r="AS9" s="47" t="s">
        <v>78</v>
      </c>
      <c r="AT9" s="82"/>
      <c r="AU9" s="82"/>
      <c r="AV9" s="82"/>
      <c r="AW9" s="82"/>
      <c r="AX9" s="82"/>
      <c r="AY9" s="82"/>
      <c r="AZ9" s="82"/>
      <c r="BA9" s="82"/>
      <c r="BB9" s="82"/>
      <c r="BC9" s="82"/>
      <c r="BD9" s="82"/>
      <c r="BE9" s="82"/>
      <c r="BF9" s="82"/>
      <c r="BG9" s="82"/>
      <c r="BH9" s="82"/>
      <c r="BI9" s="82"/>
      <c r="BJ9" s="82"/>
      <c r="BK9" s="82"/>
      <c r="BL9" s="82"/>
      <c r="BM9" s="82"/>
      <c r="BN9" s="82"/>
      <c r="BO9" s="82"/>
      <c r="BP9" s="82"/>
      <c r="BQ9" s="82"/>
      <c r="BR9" s="82"/>
      <c r="BS9" s="82"/>
      <c r="BT9" s="82"/>
      <c r="BU9" s="82"/>
      <c r="BV9" s="82"/>
      <c r="BW9" s="82"/>
      <c r="BX9" s="82"/>
    </row>
    <row r="10" spans="1:76" ht="15.75" customHeight="1">
      <c r="A10" s="67" t="s">
        <v>95</v>
      </c>
      <c r="B10" s="79" t="s">
        <v>94</v>
      </c>
      <c r="C10" s="83" t="s">
        <v>93</v>
      </c>
      <c r="D10" s="43">
        <f t="shared" si="0"/>
        <v>1</v>
      </c>
      <c r="E10" s="80"/>
      <c r="F10" s="80"/>
      <c r="G10" s="80"/>
      <c r="H10" s="80"/>
      <c r="I10" s="80"/>
      <c r="J10" s="80"/>
      <c r="K10" s="80"/>
      <c r="L10" s="80"/>
      <c r="M10" s="80"/>
      <c r="N10" s="80"/>
      <c r="O10" s="80"/>
      <c r="P10" s="80"/>
      <c r="Q10" s="80"/>
      <c r="R10" s="80"/>
      <c r="S10" s="80"/>
      <c r="T10" s="80"/>
      <c r="U10" s="80"/>
      <c r="V10" s="80"/>
      <c r="W10" s="80"/>
      <c r="X10" s="80"/>
      <c r="Y10" s="80"/>
      <c r="Z10" s="80"/>
      <c r="AA10" s="80"/>
      <c r="AB10" s="80"/>
      <c r="AC10" s="80"/>
      <c r="AD10" s="80"/>
      <c r="AE10" s="80"/>
      <c r="AF10" s="80"/>
      <c r="AG10" s="80"/>
      <c r="AH10" s="80"/>
      <c r="AI10" s="80"/>
      <c r="AJ10" s="80"/>
      <c r="AK10" s="80"/>
      <c r="AL10" s="80"/>
      <c r="AM10" s="80"/>
      <c r="AN10" s="80"/>
      <c r="AO10" s="80"/>
      <c r="AP10" s="80"/>
      <c r="AQ10" s="80"/>
      <c r="AR10" s="80"/>
      <c r="AS10" s="47" t="s">
        <v>78</v>
      </c>
      <c r="AT10" s="80"/>
      <c r="AU10" s="80"/>
      <c r="AV10" s="80"/>
      <c r="AW10" s="80"/>
      <c r="AX10" s="80"/>
      <c r="AY10" s="80"/>
      <c r="AZ10" s="80"/>
      <c r="BA10" s="80"/>
      <c r="BB10" s="80"/>
      <c r="BC10" s="80"/>
      <c r="BD10" s="80"/>
      <c r="BE10" s="80"/>
      <c r="BF10" s="80"/>
      <c r="BG10" s="80"/>
      <c r="BH10" s="80"/>
      <c r="BI10" s="80"/>
      <c r="BJ10" s="80"/>
      <c r="BK10" s="80"/>
      <c r="BL10" s="80"/>
      <c r="BM10" s="80"/>
      <c r="BN10" s="80"/>
      <c r="BO10" s="80"/>
      <c r="BP10" s="80"/>
      <c r="BQ10" s="80"/>
      <c r="BR10" s="80"/>
      <c r="BS10" s="80"/>
      <c r="BT10" s="80"/>
      <c r="BU10" s="80"/>
      <c r="BV10" s="80"/>
      <c r="BW10" s="80"/>
      <c r="BX10" s="80"/>
    </row>
    <row r="11" spans="1:76" ht="15.75" customHeight="1">
      <c r="A11" s="68" t="s">
        <v>97</v>
      </c>
      <c r="B11" s="81" t="s">
        <v>96</v>
      </c>
      <c r="C11" s="83" t="s">
        <v>93</v>
      </c>
      <c r="D11" s="46">
        <f t="shared" si="0"/>
        <v>0</v>
      </c>
      <c r="E11" s="82"/>
      <c r="F11" s="82"/>
      <c r="G11" s="82"/>
      <c r="H11" s="82"/>
      <c r="I11" s="82"/>
      <c r="J11" s="82"/>
      <c r="K11" s="82"/>
      <c r="L11" s="82"/>
      <c r="M11" s="82"/>
      <c r="N11" s="82"/>
      <c r="O11" s="82"/>
      <c r="P11" s="82"/>
      <c r="Q11" s="82"/>
      <c r="R11" s="82"/>
      <c r="S11" s="82"/>
      <c r="T11" s="82"/>
      <c r="U11" s="82"/>
      <c r="V11" s="82"/>
      <c r="W11" s="82"/>
      <c r="X11" s="82"/>
      <c r="Y11" s="82"/>
      <c r="Z11" s="82"/>
      <c r="AA11" s="82"/>
      <c r="AB11" s="82"/>
      <c r="AC11" s="82"/>
      <c r="AD11" s="82"/>
      <c r="AE11" s="82"/>
      <c r="AF11" s="82"/>
      <c r="AG11" s="82"/>
      <c r="AH11" s="82"/>
      <c r="AI11" s="82"/>
      <c r="AJ11" s="82"/>
      <c r="AK11" s="82"/>
      <c r="AL11" s="82"/>
      <c r="AM11" s="82"/>
      <c r="AN11" s="82"/>
      <c r="AO11" s="82"/>
      <c r="AP11" s="82"/>
      <c r="AQ11" s="82"/>
      <c r="AR11" s="82"/>
      <c r="AS11" s="82"/>
      <c r="AT11" s="82"/>
      <c r="AU11" s="82"/>
      <c r="AV11" s="82"/>
      <c r="AW11" s="82"/>
      <c r="AX11" s="82"/>
      <c r="AY11" s="82"/>
      <c r="AZ11" s="82"/>
      <c r="BA11" s="82"/>
      <c r="BB11" s="82"/>
      <c r="BC11" s="82"/>
      <c r="BD11" s="82"/>
      <c r="BE11" s="82"/>
      <c r="BF11" s="82"/>
      <c r="BG11" s="82"/>
      <c r="BH11" s="82"/>
      <c r="BI11" s="82"/>
      <c r="BJ11" s="82"/>
      <c r="BK11" s="82"/>
      <c r="BL11" s="82"/>
      <c r="BM11" s="82"/>
      <c r="BN11" s="82"/>
      <c r="BO11" s="82"/>
      <c r="BP11" s="82"/>
      <c r="BQ11" s="82"/>
      <c r="BR11" s="82"/>
      <c r="BS11" s="82"/>
      <c r="BT11" s="82"/>
      <c r="BU11" s="82"/>
      <c r="BV11" s="82"/>
      <c r="BW11" s="82"/>
      <c r="BX11" s="82"/>
    </row>
    <row r="12" spans="1:76" ht="15.75" customHeight="1">
      <c r="A12" s="67" t="s">
        <v>99</v>
      </c>
      <c r="B12" s="79" t="s">
        <v>98</v>
      </c>
      <c r="C12" s="84" t="s">
        <v>240</v>
      </c>
      <c r="D12" s="43">
        <f t="shared" si="0"/>
        <v>6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47" t="s">
        <v>78</v>
      </c>
      <c r="Q12" s="47" t="s">
        <v>78</v>
      </c>
      <c r="R12" s="80"/>
      <c r="S12" s="80"/>
      <c r="T12" s="80"/>
      <c r="U12" s="80"/>
      <c r="V12" s="80"/>
      <c r="W12" s="80"/>
      <c r="X12" s="80"/>
      <c r="Y12" s="80"/>
      <c r="Z12" s="47" t="s">
        <v>78</v>
      </c>
      <c r="AA12" s="80"/>
      <c r="AB12" s="80"/>
      <c r="AC12" s="80"/>
      <c r="AD12" s="80"/>
      <c r="AE12" s="80"/>
      <c r="AF12" s="80"/>
      <c r="AG12" s="80"/>
      <c r="AH12" s="80"/>
      <c r="AI12" s="80"/>
      <c r="AJ12" s="80"/>
      <c r="AK12" s="80"/>
      <c r="AL12" s="80"/>
      <c r="AM12" s="80"/>
      <c r="AN12" s="80"/>
      <c r="AO12" s="80"/>
      <c r="AP12" s="80"/>
      <c r="AQ12" s="80"/>
      <c r="AR12" s="80"/>
      <c r="AS12" s="47" t="s">
        <v>78</v>
      </c>
      <c r="AT12" s="80"/>
      <c r="AU12" s="80"/>
      <c r="AV12" s="80"/>
      <c r="AW12" s="80"/>
      <c r="AX12" s="80"/>
      <c r="AY12" s="47" t="s">
        <v>78</v>
      </c>
      <c r="AZ12" s="80"/>
      <c r="BA12" s="80"/>
      <c r="BB12" s="80"/>
      <c r="BC12" s="80"/>
      <c r="BD12" s="80"/>
      <c r="BE12" s="80"/>
      <c r="BF12" s="47" t="s">
        <v>78</v>
      </c>
      <c r="BG12" s="80"/>
      <c r="BH12" s="80"/>
      <c r="BI12" s="80"/>
      <c r="BJ12" s="80"/>
      <c r="BK12" s="80"/>
      <c r="BL12" s="80"/>
      <c r="BM12" s="80"/>
      <c r="BN12" s="80"/>
      <c r="BO12" s="80"/>
      <c r="BP12" s="80"/>
      <c r="BQ12" s="80"/>
      <c r="BR12" s="80"/>
      <c r="BS12" s="80"/>
      <c r="BT12" s="80"/>
      <c r="BU12" s="80"/>
      <c r="BV12" s="80"/>
      <c r="BW12" s="80"/>
      <c r="BX12" s="80"/>
    </row>
    <row r="13" spans="1:76" ht="15.75" customHeight="1">
      <c r="A13" s="68" t="s">
        <v>101</v>
      </c>
      <c r="B13" s="81" t="s">
        <v>100</v>
      </c>
      <c r="C13" s="47" t="s">
        <v>2</v>
      </c>
      <c r="D13" s="46">
        <f t="shared" si="0"/>
        <v>2</v>
      </c>
      <c r="E13" s="82"/>
      <c r="F13" s="82"/>
      <c r="G13" s="82"/>
      <c r="H13" s="82"/>
      <c r="I13" s="82"/>
      <c r="J13" s="82"/>
      <c r="K13" s="82"/>
      <c r="L13" s="82"/>
      <c r="M13" s="82"/>
      <c r="N13" s="82"/>
      <c r="O13" s="82"/>
      <c r="P13" s="82"/>
      <c r="Q13" s="47" t="s">
        <v>78</v>
      </c>
      <c r="R13" s="82"/>
      <c r="S13" s="82"/>
      <c r="T13" s="82"/>
      <c r="U13" s="82"/>
      <c r="V13" s="82"/>
      <c r="W13" s="82"/>
      <c r="X13" s="82"/>
      <c r="Y13" s="82"/>
      <c r="Z13" s="82"/>
      <c r="AA13" s="82"/>
      <c r="AB13" s="82"/>
      <c r="AC13" s="82"/>
      <c r="AD13" s="82"/>
      <c r="AE13" s="82"/>
      <c r="AF13" s="82"/>
      <c r="AG13" s="82"/>
      <c r="AH13" s="82"/>
      <c r="AI13" s="82"/>
      <c r="AJ13" s="82"/>
      <c r="AK13" s="82"/>
      <c r="AL13" s="82"/>
      <c r="AM13" s="82"/>
      <c r="AN13" s="82"/>
      <c r="AO13" s="82"/>
      <c r="AP13" s="82"/>
      <c r="AQ13" s="82"/>
      <c r="AR13" s="82"/>
      <c r="AS13" s="47" t="s">
        <v>78</v>
      </c>
      <c r="AT13" s="82"/>
      <c r="AU13" s="82"/>
      <c r="AV13" s="82"/>
      <c r="AW13" s="82"/>
      <c r="AX13" s="82"/>
      <c r="AY13" s="82"/>
      <c r="AZ13" s="82"/>
      <c r="BA13" s="82"/>
      <c r="BB13" s="82"/>
      <c r="BC13" s="82"/>
      <c r="BD13" s="82"/>
      <c r="BE13" s="82"/>
      <c r="BF13" s="82"/>
      <c r="BG13" s="82"/>
      <c r="BH13" s="82"/>
      <c r="BI13" s="82"/>
      <c r="BJ13" s="82"/>
      <c r="BK13" s="82"/>
      <c r="BL13" s="82"/>
      <c r="BM13" s="82"/>
      <c r="BN13" s="82"/>
      <c r="BO13" s="82"/>
      <c r="BP13" s="82"/>
      <c r="BQ13" s="82"/>
      <c r="BR13" s="82"/>
      <c r="BS13" s="82"/>
      <c r="BT13" s="82"/>
      <c r="BU13" s="82"/>
      <c r="BV13" s="82"/>
      <c r="BW13" s="82"/>
      <c r="BX13" s="82"/>
    </row>
    <row r="14" spans="1:76" ht="15.75" customHeight="1">
      <c r="A14" s="67" t="s">
        <v>103</v>
      </c>
      <c r="B14" s="79" t="s">
        <v>102</v>
      </c>
      <c r="C14" s="84" t="s">
        <v>240</v>
      </c>
      <c r="D14" s="43">
        <f t="shared" si="0"/>
        <v>1</v>
      </c>
      <c r="E14" s="80"/>
      <c r="F14" s="80"/>
      <c r="G14" s="80"/>
      <c r="H14" s="80"/>
      <c r="I14" s="80"/>
      <c r="J14" s="80"/>
      <c r="K14" s="80"/>
      <c r="L14" s="80"/>
      <c r="M14" s="80"/>
      <c r="N14" s="80"/>
      <c r="O14" s="80"/>
      <c r="P14" s="80"/>
      <c r="Q14" s="80"/>
      <c r="R14" s="80"/>
      <c r="S14" s="80"/>
      <c r="T14" s="80"/>
      <c r="U14" s="80"/>
      <c r="V14" s="80"/>
      <c r="W14" s="80"/>
      <c r="X14" s="80"/>
      <c r="Y14" s="80"/>
      <c r="Z14" s="80"/>
      <c r="AA14" s="80"/>
      <c r="AB14" s="80"/>
      <c r="AC14" s="80"/>
      <c r="AD14" s="80"/>
      <c r="AE14" s="80"/>
      <c r="AF14" s="80"/>
      <c r="AG14" s="80"/>
      <c r="AH14" s="80"/>
      <c r="AI14" s="80"/>
      <c r="AJ14" s="80"/>
      <c r="AK14" s="80"/>
      <c r="AL14" s="80"/>
      <c r="AM14" s="80"/>
      <c r="AN14" s="80"/>
      <c r="AO14" s="80"/>
      <c r="AP14" s="80"/>
      <c r="AQ14" s="80"/>
      <c r="AR14" s="80"/>
      <c r="AS14" s="80"/>
      <c r="AT14" s="80"/>
      <c r="AU14" s="80"/>
      <c r="AV14" s="80"/>
      <c r="AW14" s="80"/>
      <c r="AX14" s="80"/>
      <c r="AY14" s="80"/>
      <c r="AZ14" s="80"/>
      <c r="BA14" s="80"/>
      <c r="BB14" s="80"/>
      <c r="BC14" s="80"/>
      <c r="BD14" s="80"/>
      <c r="BE14" s="80"/>
      <c r="BF14" s="80"/>
      <c r="BG14" s="80"/>
      <c r="BH14" s="80"/>
      <c r="BI14" s="80"/>
      <c r="BJ14" s="80"/>
      <c r="BK14" s="80"/>
      <c r="BL14" s="80"/>
      <c r="BM14" s="80"/>
      <c r="BN14" s="80"/>
      <c r="BO14" s="80"/>
      <c r="BP14" s="80"/>
      <c r="BQ14" s="80"/>
      <c r="BR14" s="80"/>
      <c r="BS14" s="80"/>
      <c r="BT14" s="80"/>
      <c r="BU14" s="80"/>
      <c r="BV14" s="80"/>
      <c r="BW14" s="47" t="s">
        <v>78</v>
      </c>
      <c r="BX14" s="80"/>
    </row>
    <row r="15" spans="1:76" ht="15.75" customHeight="1">
      <c r="A15" s="68" t="s">
        <v>369</v>
      </c>
      <c r="B15" s="81" t="s">
        <v>104</v>
      </c>
      <c r="C15" s="85" t="s">
        <v>240</v>
      </c>
      <c r="D15" s="46">
        <f t="shared" si="0"/>
        <v>19</v>
      </c>
      <c r="E15" s="82"/>
      <c r="F15" s="82"/>
      <c r="G15" s="82"/>
      <c r="H15" s="82"/>
      <c r="I15" s="47" t="s">
        <v>78</v>
      </c>
      <c r="J15" s="82"/>
      <c r="K15" s="82"/>
      <c r="L15" s="47" t="s">
        <v>78</v>
      </c>
      <c r="M15" s="82"/>
      <c r="N15" s="82"/>
      <c r="O15" s="82"/>
      <c r="P15" s="82"/>
      <c r="Q15" s="82"/>
      <c r="R15" s="82"/>
      <c r="S15" s="47" t="s">
        <v>78</v>
      </c>
      <c r="T15" s="82"/>
      <c r="U15" s="82"/>
      <c r="V15" s="82"/>
      <c r="W15" s="82"/>
      <c r="X15" s="47" t="s">
        <v>78</v>
      </c>
      <c r="Y15" s="82"/>
      <c r="Z15" s="82"/>
      <c r="AA15" s="82"/>
      <c r="AB15" s="47" t="s">
        <v>78</v>
      </c>
      <c r="AC15" s="82"/>
      <c r="AD15" s="82"/>
      <c r="AE15" s="82"/>
      <c r="AF15" s="82"/>
      <c r="AG15" s="82"/>
      <c r="AH15" s="82"/>
      <c r="AI15" s="47" t="s">
        <v>78</v>
      </c>
      <c r="AJ15" s="82"/>
      <c r="AK15" s="82"/>
      <c r="AL15" s="47" t="s">
        <v>78</v>
      </c>
      <c r="AM15" s="47" t="s">
        <v>78</v>
      </c>
      <c r="AN15" s="47" t="s">
        <v>78</v>
      </c>
      <c r="AO15" s="47" t="s">
        <v>78</v>
      </c>
      <c r="AP15" s="82"/>
      <c r="AQ15" s="47" t="s">
        <v>78</v>
      </c>
      <c r="AR15" s="47" t="s">
        <v>78</v>
      </c>
      <c r="AS15" s="82"/>
      <c r="AT15" s="82"/>
      <c r="AU15" s="47" t="s">
        <v>78</v>
      </c>
      <c r="AV15" s="82"/>
      <c r="AW15" s="82"/>
      <c r="AX15" s="82"/>
      <c r="AY15" s="82"/>
      <c r="AZ15" s="82"/>
      <c r="BA15" s="82"/>
      <c r="BB15" s="47" t="s">
        <v>78</v>
      </c>
      <c r="BC15" s="82"/>
      <c r="BD15" s="82"/>
      <c r="BE15" s="82"/>
      <c r="BF15" s="82"/>
      <c r="BG15" s="82"/>
      <c r="BH15" s="82"/>
      <c r="BI15" s="82"/>
      <c r="BJ15" s="47" t="s">
        <v>78</v>
      </c>
      <c r="BK15" s="82"/>
      <c r="BL15" s="82"/>
      <c r="BM15" s="82"/>
      <c r="BN15" s="82"/>
      <c r="BO15" s="82"/>
      <c r="BP15" s="82"/>
      <c r="BQ15" s="82"/>
      <c r="BR15" s="82"/>
      <c r="BS15" s="82"/>
      <c r="BT15" s="82"/>
      <c r="BU15" s="47" t="s">
        <v>78</v>
      </c>
      <c r="BV15" s="47" t="s">
        <v>78</v>
      </c>
      <c r="BW15" s="47" t="s">
        <v>78</v>
      </c>
      <c r="BX15" s="47" t="s">
        <v>78</v>
      </c>
    </row>
    <row r="16" spans="1:76" ht="15.75" customHeight="1">
      <c r="A16" s="67" t="s">
        <v>370</v>
      </c>
      <c r="B16" s="79" t="s">
        <v>106</v>
      </c>
      <c r="C16" s="84" t="s">
        <v>240</v>
      </c>
      <c r="D16" s="43">
        <f t="shared" si="0"/>
        <v>8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  <c r="S16" s="80"/>
      <c r="T16" s="80"/>
      <c r="U16" s="80"/>
      <c r="V16" s="80"/>
      <c r="W16" s="80"/>
      <c r="X16" s="80"/>
      <c r="Y16" s="80"/>
      <c r="Z16" s="80"/>
      <c r="AA16" s="80"/>
      <c r="AB16" s="80"/>
      <c r="AC16" s="80"/>
      <c r="AD16" s="80"/>
      <c r="AE16" s="80"/>
      <c r="AF16" s="47" t="s">
        <v>78</v>
      </c>
      <c r="AG16" s="80"/>
      <c r="AH16" s="47" t="s">
        <v>78</v>
      </c>
      <c r="AI16" s="80"/>
      <c r="AJ16" s="80"/>
      <c r="AK16" s="80"/>
      <c r="AL16" s="80"/>
      <c r="AM16" s="80"/>
      <c r="AN16" s="80"/>
      <c r="AO16" s="80"/>
      <c r="AP16" s="80"/>
      <c r="AQ16" s="80"/>
      <c r="AR16" s="80"/>
      <c r="AS16" s="47" t="s">
        <v>78</v>
      </c>
      <c r="AT16" s="80"/>
      <c r="AU16" s="80"/>
      <c r="AV16" s="80"/>
      <c r="AW16" s="80"/>
      <c r="AX16" s="47" t="s">
        <v>78</v>
      </c>
      <c r="AY16" s="80"/>
      <c r="AZ16" s="80"/>
      <c r="BA16" s="80"/>
      <c r="BB16" s="80"/>
      <c r="BC16" s="80"/>
      <c r="BD16" s="47" t="s">
        <v>78</v>
      </c>
      <c r="BE16" s="80"/>
      <c r="BF16" s="80"/>
      <c r="BG16" s="80"/>
      <c r="BH16" s="80"/>
      <c r="BI16" s="80"/>
      <c r="BJ16" s="80"/>
      <c r="BK16" s="47" t="s">
        <v>78</v>
      </c>
      <c r="BL16" s="80"/>
      <c r="BM16" s="80"/>
      <c r="BN16" s="80"/>
      <c r="BO16" s="80"/>
      <c r="BP16" s="80"/>
      <c r="BQ16" s="80"/>
      <c r="BR16" s="80"/>
      <c r="BS16" s="47" t="s">
        <v>78</v>
      </c>
      <c r="BT16" s="47" t="s">
        <v>78</v>
      </c>
      <c r="BU16" s="80"/>
      <c r="BV16" s="80"/>
      <c r="BW16" s="80"/>
      <c r="BX16" s="80"/>
    </row>
    <row r="17" spans="1:76" ht="15.75" customHeight="1">
      <c r="A17" s="68" t="s">
        <v>371</v>
      </c>
      <c r="B17" s="81" t="s">
        <v>108</v>
      </c>
      <c r="C17" s="85" t="s">
        <v>240</v>
      </c>
      <c r="D17" s="46">
        <f t="shared" si="0"/>
        <v>7</v>
      </c>
      <c r="E17" s="47" t="s">
        <v>78</v>
      </c>
      <c r="F17" s="82"/>
      <c r="G17" s="82"/>
      <c r="H17" s="82"/>
      <c r="I17" s="82"/>
      <c r="J17" s="47" t="s">
        <v>78</v>
      </c>
      <c r="K17" s="82"/>
      <c r="L17" s="82"/>
      <c r="M17" s="82"/>
      <c r="N17" s="82"/>
      <c r="O17" s="82"/>
      <c r="P17" s="47" t="s">
        <v>78</v>
      </c>
      <c r="Q17" s="82"/>
      <c r="R17" s="82"/>
      <c r="S17" s="82"/>
      <c r="T17" s="82"/>
      <c r="U17" s="82"/>
      <c r="V17" s="82"/>
      <c r="W17" s="82"/>
      <c r="X17" s="82"/>
      <c r="Y17" s="82"/>
      <c r="Z17" s="82"/>
      <c r="AA17" s="82"/>
      <c r="AB17" s="82"/>
      <c r="AC17" s="82"/>
      <c r="AD17" s="82"/>
      <c r="AE17" s="82"/>
      <c r="AF17" s="82"/>
      <c r="AG17" s="82"/>
      <c r="AH17" s="47" t="s">
        <v>78</v>
      </c>
      <c r="AI17" s="82"/>
      <c r="AJ17" s="47" t="s">
        <v>78</v>
      </c>
      <c r="AK17" s="82"/>
      <c r="AL17" s="82"/>
      <c r="AM17" s="82"/>
      <c r="AN17" s="82"/>
      <c r="AO17" s="82"/>
      <c r="AP17" s="82"/>
      <c r="AQ17" s="82"/>
      <c r="AR17" s="82"/>
      <c r="AS17" s="82"/>
      <c r="AT17" s="82"/>
      <c r="AU17" s="82"/>
      <c r="AV17" s="82"/>
      <c r="AW17" s="82"/>
      <c r="AX17" s="82"/>
      <c r="AY17" s="82"/>
      <c r="AZ17" s="82"/>
      <c r="BA17" s="82"/>
      <c r="BB17" s="82"/>
      <c r="BC17" s="82"/>
      <c r="BD17" s="82"/>
      <c r="BE17" s="82"/>
      <c r="BF17" s="82"/>
      <c r="BG17" s="82"/>
      <c r="BH17" s="82"/>
      <c r="BI17" s="82"/>
      <c r="BJ17" s="82"/>
      <c r="BK17" s="82"/>
      <c r="BL17" s="82"/>
      <c r="BM17" s="82"/>
      <c r="BN17" s="47" t="s">
        <v>78</v>
      </c>
      <c r="BO17" s="47" t="s">
        <v>78</v>
      </c>
      <c r="BP17" s="82"/>
      <c r="BQ17" s="82"/>
      <c r="BR17" s="82"/>
      <c r="BS17" s="82"/>
      <c r="BT17" s="82"/>
      <c r="BU17" s="82"/>
      <c r="BV17" s="82"/>
      <c r="BW17" s="82"/>
      <c r="BX17" s="82"/>
    </row>
    <row r="18" spans="1:76" ht="15.75" customHeight="1">
      <c r="A18" s="67" t="s">
        <v>111</v>
      </c>
      <c r="B18" s="79" t="s">
        <v>110</v>
      </c>
      <c r="C18" s="84" t="s">
        <v>240</v>
      </c>
      <c r="D18" s="43">
        <f t="shared" si="0"/>
        <v>0</v>
      </c>
      <c r="E18" s="80"/>
      <c r="F18" s="80"/>
      <c r="G18" s="80"/>
      <c r="H18" s="80"/>
      <c r="I18" s="80"/>
      <c r="J18" s="80"/>
      <c r="K18" s="80"/>
      <c r="L18" s="80"/>
      <c r="M18" s="80"/>
      <c r="N18" s="80"/>
      <c r="O18" s="80"/>
      <c r="P18" s="80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0"/>
      <c r="AB18" s="80"/>
      <c r="AC18" s="80"/>
      <c r="AD18" s="80"/>
      <c r="AE18" s="80"/>
      <c r="AF18" s="80"/>
      <c r="AG18" s="80"/>
      <c r="AH18" s="80"/>
      <c r="AI18" s="80"/>
      <c r="AJ18" s="80"/>
      <c r="AK18" s="80"/>
      <c r="AL18" s="80"/>
      <c r="AM18" s="80"/>
      <c r="AN18" s="80"/>
      <c r="AO18" s="80"/>
      <c r="AP18" s="80"/>
      <c r="AQ18" s="80"/>
      <c r="AR18" s="80"/>
      <c r="AS18" s="80"/>
      <c r="AT18" s="80"/>
      <c r="AU18" s="80"/>
      <c r="AV18" s="80"/>
      <c r="AW18" s="80"/>
      <c r="AX18" s="80"/>
      <c r="AY18" s="80"/>
      <c r="AZ18" s="80"/>
      <c r="BA18" s="80"/>
      <c r="BB18" s="80"/>
      <c r="BC18" s="80"/>
      <c r="BD18" s="80"/>
      <c r="BE18" s="80"/>
      <c r="BF18" s="80"/>
      <c r="BG18" s="80"/>
      <c r="BH18" s="80"/>
      <c r="BI18" s="80"/>
      <c r="BJ18" s="80"/>
      <c r="BK18" s="80"/>
      <c r="BL18" s="80"/>
      <c r="BM18" s="80"/>
      <c r="BN18" s="80"/>
      <c r="BO18" s="80"/>
      <c r="BP18" s="80"/>
      <c r="BQ18" s="80"/>
      <c r="BR18" s="80"/>
      <c r="BS18" s="80"/>
      <c r="BT18" s="80"/>
      <c r="BU18" s="80"/>
      <c r="BV18" s="80"/>
      <c r="BW18" s="80"/>
      <c r="BX18" s="80"/>
    </row>
    <row r="19" spans="1:76" ht="15.75" customHeight="1">
      <c r="A19" s="68" t="s">
        <v>181</v>
      </c>
      <c r="B19" s="81" t="s">
        <v>112</v>
      </c>
      <c r="C19" s="85" t="s">
        <v>240</v>
      </c>
      <c r="D19" s="46">
        <f t="shared" si="0"/>
        <v>19</v>
      </c>
      <c r="E19" s="82"/>
      <c r="F19" s="47" t="s">
        <v>78</v>
      </c>
      <c r="G19" s="47" t="s">
        <v>78</v>
      </c>
      <c r="H19" s="47" t="s">
        <v>78</v>
      </c>
      <c r="I19" s="82"/>
      <c r="J19" s="47" t="s">
        <v>78</v>
      </c>
      <c r="K19" s="47" t="s">
        <v>78</v>
      </c>
      <c r="L19" s="82"/>
      <c r="M19" s="47" t="s">
        <v>78</v>
      </c>
      <c r="N19" s="47" t="s">
        <v>78</v>
      </c>
      <c r="O19" s="82"/>
      <c r="P19" s="82"/>
      <c r="Q19" s="82"/>
      <c r="R19" s="82"/>
      <c r="S19" s="82"/>
      <c r="T19" s="47" t="s">
        <v>78</v>
      </c>
      <c r="U19" s="47" t="s">
        <v>78</v>
      </c>
      <c r="V19" s="82"/>
      <c r="W19" s="82"/>
      <c r="X19" s="82"/>
      <c r="Y19" s="82"/>
      <c r="Z19" s="82"/>
      <c r="AA19" s="82"/>
      <c r="AB19" s="82"/>
      <c r="AC19" s="82"/>
      <c r="AD19" s="82"/>
      <c r="AE19" s="47" t="s">
        <v>78</v>
      </c>
      <c r="AF19" s="82"/>
      <c r="AG19" s="82"/>
      <c r="AH19" s="82"/>
      <c r="AI19" s="82"/>
      <c r="AJ19" s="82"/>
      <c r="AK19" s="82"/>
      <c r="AL19" s="82"/>
      <c r="AM19" s="82"/>
      <c r="AN19" s="82"/>
      <c r="AO19" s="47" t="s">
        <v>78</v>
      </c>
      <c r="AP19" s="82"/>
      <c r="AQ19" s="82"/>
      <c r="AR19" s="82"/>
      <c r="AS19" s="82"/>
      <c r="AT19" s="82"/>
      <c r="AU19" s="82"/>
      <c r="AV19" s="82"/>
      <c r="AW19" s="82"/>
      <c r="AX19" s="82"/>
      <c r="AY19" s="47" t="s">
        <v>78</v>
      </c>
      <c r="AZ19" s="82"/>
      <c r="BA19" s="82"/>
      <c r="BB19" s="82"/>
      <c r="BC19" s="47" t="s">
        <v>78</v>
      </c>
      <c r="BD19" s="82"/>
      <c r="BE19" s="82"/>
      <c r="BF19" s="82"/>
      <c r="BG19" s="47" t="s">
        <v>78</v>
      </c>
      <c r="BH19" s="82"/>
      <c r="BI19" s="82"/>
      <c r="BJ19" s="82"/>
      <c r="BK19" s="82"/>
      <c r="BL19" s="47" t="s">
        <v>78</v>
      </c>
      <c r="BM19" s="47" t="s">
        <v>78</v>
      </c>
      <c r="BN19" s="47" t="s">
        <v>78</v>
      </c>
      <c r="BO19" s="82"/>
      <c r="BP19" s="82"/>
      <c r="BQ19" s="82"/>
      <c r="BR19" s="82"/>
      <c r="BS19" s="47" t="s">
        <v>78</v>
      </c>
      <c r="BT19" s="82"/>
      <c r="BU19" s="82"/>
      <c r="BV19" s="82"/>
      <c r="BW19" s="82"/>
      <c r="BX19" s="47" t="s">
        <v>78</v>
      </c>
    </row>
    <row r="20" spans="1:76" ht="15.75" customHeight="1">
      <c r="A20" s="67" t="s">
        <v>115</v>
      </c>
      <c r="B20" s="79" t="s">
        <v>114</v>
      </c>
      <c r="C20" s="84" t="s">
        <v>240</v>
      </c>
      <c r="D20" s="43">
        <f t="shared" si="0"/>
        <v>12</v>
      </c>
      <c r="E20" s="80"/>
      <c r="F20" s="80"/>
      <c r="G20" s="80"/>
      <c r="H20" s="80"/>
      <c r="I20" s="80"/>
      <c r="J20" s="80"/>
      <c r="K20" s="80"/>
      <c r="L20" s="80"/>
      <c r="M20" s="80"/>
      <c r="N20" s="80"/>
      <c r="O20" s="47" t="s">
        <v>78</v>
      </c>
      <c r="P20" s="80"/>
      <c r="Q20" s="47" t="s">
        <v>78</v>
      </c>
      <c r="R20" s="47" t="s">
        <v>78</v>
      </c>
      <c r="S20" s="80"/>
      <c r="T20" s="80"/>
      <c r="U20" s="80"/>
      <c r="V20" s="80"/>
      <c r="W20" s="80"/>
      <c r="X20" s="80"/>
      <c r="Y20" s="80"/>
      <c r="Z20" s="47" t="s">
        <v>78</v>
      </c>
      <c r="AA20" s="47" t="s">
        <v>78</v>
      </c>
      <c r="AB20" s="80"/>
      <c r="AC20" s="47" t="s">
        <v>78</v>
      </c>
      <c r="AD20" s="80"/>
      <c r="AE20" s="80"/>
      <c r="AF20" s="47" t="s">
        <v>78</v>
      </c>
      <c r="AG20" s="80"/>
      <c r="AH20" s="80"/>
      <c r="AI20" s="80"/>
      <c r="AJ20" s="80"/>
      <c r="AK20" s="47" t="s">
        <v>78</v>
      </c>
      <c r="AL20" s="80"/>
      <c r="AM20" s="80"/>
      <c r="AN20" s="80"/>
      <c r="AO20" s="80"/>
      <c r="AP20" s="80"/>
      <c r="AQ20" s="80"/>
      <c r="AR20" s="80"/>
      <c r="AS20" s="80"/>
      <c r="AT20" s="80"/>
      <c r="AU20" s="80"/>
      <c r="AV20" s="80"/>
      <c r="AW20" s="80"/>
      <c r="AX20" s="80"/>
      <c r="AY20" s="80"/>
      <c r="AZ20" s="80"/>
      <c r="BA20" s="80"/>
      <c r="BB20" s="80"/>
      <c r="BC20" s="80"/>
      <c r="BD20" s="80"/>
      <c r="BE20" s="47" t="s">
        <v>78</v>
      </c>
      <c r="BF20" s="47" t="s">
        <v>78</v>
      </c>
      <c r="BG20" s="80"/>
      <c r="BH20" s="47" t="s">
        <v>78</v>
      </c>
      <c r="BI20" s="80"/>
      <c r="BJ20" s="80"/>
      <c r="BK20" s="80"/>
      <c r="BL20" s="80"/>
      <c r="BM20" s="80"/>
      <c r="BN20" s="80"/>
      <c r="BO20" s="80"/>
      <c r="BP20" s="80"/>
      <c r="BQ20" s="47" t="s">
        <v>78</v>
      </c>
      <c r="BR20" s="80"/>
      <c r="BS20" s="80"/>
      <c r="BT20" s="80"/>
      <c r="BU20" s="80"/>
      <c r="BV20" s="80"/>
      <c r="BW20" s="80"/>
      <c r="BX20" s="80"/>
    </row>
    <row r="21" spans="1:76" ht="15.75" customHeight="1">
      <c r="A21" s="68" t="s">
        <v>117</v>
      </c>
      <c r="B21" s="81" t="s">
        <v>116</v>
      </c>
      <c r="C21" s="85" t="s">
        <v>240</v>
      </c>
      <c r="D21" s="46">
        <f t="shared" si="0"/>
        <v>18</v>
      </c>
      <c r="E21" s="82"/>
      <c r="F21" s="82"/>
      <c r="G21" s="82"/>
      <c r="H21" s="82"/>
      <c r="I21" s="82"/>
      <c r="J21" s="82"/>
      <c r="K21" s="82"/>
      <c r="L21" s="82"/>
      <c r="M21" s="82"/>
      <c r="N21" s="82"/>
      <c r="O21" s="47" t="s">
        <v>78</v>
      </c>
      <c r="P21" s="47" t="s">
        <v>78</v>
      </c>
      <c r="Q21" s="47" t="s">
        <v>78</v>
      </c>
      <c r="R21" s="47" t="s">
        <v>78</v>
      </c>
      <c r="S21" s="82"/>
      <c r="T21" s="82"/>
      <c r="U21" s="82"/>
      <c r="V21" s="82"/>
      <c r="W21" s="82"/>
      <c r="X21" s="82"/>
      <c r="Y21" s="82"/>
      <c r="Z21" s="47" t="s">
        <v>78</v>
      </c>
      <c r="AA21" s="47" t="s">
        <v>78</v>
      </c>
      <c r="AB21" s="82"/>
      <c r="AC21" s="47" t="s">
        <v>78</v>
      </c>
      <c r="AD21" s="82"/>
      <c r="AE21" s="82"/>
      <c r="AF21" s="47" t="s">
        <v>78</v>
      </c>
      <c r="AG21" s="82"/>
      <c r="AH21" s="47" t="s">
        <v>78</v>
      </c>
      <c r="AI21" s="82"/>
      <c r="AJ21" s="82"/>
      <c r="AK21" s="47" t="s">
        <v>78</v>
      </c>
      <c r="AL21" s="82"/>
      <c r="AM21" s="82"/>
      <c r="AN21" s="82"/>
      <c r="AO21" s="82"/>
      <c r="AP21" s="82"/>
      <c r="AQ21" s="82"/>
      <c r="AR21" s="82"/>
      <c r="AS21" s="47" t="s">
        <v>78</v>
      </c>
      <c r="AT21" s="82"/>
      <c r="AU21" s="82"/>
      <c r="AV21" s="82"/>
      <c r="AW21" s="82"/>
      <c r="AX21" s="47" t="s">
        <v>78</v>
      </c>
      <c r="AY21" s="82"/>
      <c r="AZ21" s="82"/>
      <c r="BA21" s="82"/>
      <c r="BB21" s="82"/>
      <c r="BC21" s="82"/>
      <c r="BD21" s="47" t="s">
        <v>78</v>
      </c>
      <c r="BE21" s="47" t="s">
        <v>78</v>
      </c>
      <c r="BF21" s="47" t="s">
        <v>78</v>
      </c>
      <c r="BG21" s="82"/>
      <c r="BH21" s="47" t="s">
        <v>78</v>
      </c>
      <c r="BI21" s="82"/>
      <c r="BJ21" s="82"/>
      <c r="BK21" s="82"/>
      <c r="BL21" s="82"/>
      <c r="BM21" s="82"/>
      <c r="BN21" s="82"/>
      <c r="BO21" s="82"/>
      <c r="BP21" s="82"/>
      <c r="BQ21" s="47" t="s">
        <v>78</v>
      </c>
      <c r="BR21" s="82"/>
      <c r="BS21" s="47" t="s">
        <v>78</v>
      </c>
      <c r="BT21" s="82"/>
      <c r="BU21" s="82"/>
      <c r="BV21" s="82"/>
      <c r="BW21" s="82"/>
      <c r="BX21" s="82"/>
    </row>
    <row r="22" spans="1:76" ht="15.75" customHeight="1">
      <c r="A22" s="67" t="s">
        <v>119</v>
      </c>
      <c r="B22" s="79" t="s">
        <v>118</v>
      </c>
      <c r="C22" s="84" t="s">
        <v>240</v>
      </c>
      <c r="D22" s="43">
        <f t="shared" si="0"/>
        <v>1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47" t="s">
        <v>78</v>
      </c>
      <c r="R22" s="80"/>
      <c r="S22" s="80"/>
      <c r="T22" s="80"/>
      <c r="U22" s="80"/>
      <c r="V22" s="80"/>
      <c r="W22" s="80"/>
      <c r="X22" s="80"/>
      <c r="Y22" s="80"/>
      <c r="Z22" s="80"/>
      <c r="AA22" s="80"/>
      <c r="AB22" s="80"/>
      <c r="AC22" s="80"/>
      <c r="AD22" s="80"/>
      <c r="AE22" s="80"/>
      <c r="AF22" s="80"/>
      <c r="AG22" s="80"/>
      <c r="AH22" s="80"/>
      <c r="AI22" s="80"/>
      <c r="AJ22" s="80"/>
      <c r="AK22" s="80"/>
      <c r="AL22" s="80"/>
      <c r="AM22" s="80"/>
      <c r="AN22" s="80"/>
      <c r="AO22" s="80"/>
      <c r="AP22" s="80"/>
      <c r="AQ22" s="80"/>
      <c r="AR22" s="80"/>
      <c r="AS22" s="80"/>
      <c r="AT22" s="80"/>
      <c r="AU22" s="80"/>
      <c r="AV22" s="80"/>
      <c r="AW22" s="80"/>
      <c r="AX22" s="80"/>
      <c r="AY22" s="80"/>
      <c r="AZ22" s="80"/>
      <c r="BA22" s="80"/>
      <c r="BB22" s="80"/>
      <c r="BC22" s="80"/>
      <c r="BD22" s="80"/>
      <c r="BE22" s="80"/>
      <c r="BF22" s="80"/>
      <c r="BG22" s="80"/>
      <c r="BH22" s="80"/>
      <c r="BI22" s="80"/>
      <c r="BJ22" s="80"/>
      <c r="BK22" s="80"/>
      <c r="BL22" s="80"/>
      <c r="BM22" s="80"/>
      <c r="BN22" s="80"/>
      <c r="BO22" s="80"/>
      <c r="BP22" s="80"/>
      <c r="BQ22" s="80"/>
      <c r="BR22" s="80"/>
      <c r="BS22" s="80"/>
      <c r="BT22" s="80"/>
      <c r="BU22" s="80"/>
      <c r="BV22" s="80"/>
      <c r="BW22" s="80"/>
      <c r="BX22" s="80"/>
    </row>
    <row r="23" spans="1:76" ht="15.75" customHeight="1">
      <c r="A23" s="68" t="s">
        <v>121</v>
      </c>
      <c r="B23" s="81" t="s">
        <v>120</v>
      </c>
      <c r="C23" s="84" t="s">
        <v>240</v>
      </c>
      <c r="D23" s="46">
        <f t="shared" si="0"/>
        <v>2</v>
      </c>
      <c r="E23" s="82"/>
      <c r="F23" s="82"/>
      <c r="G23" s="82"/>
      <c r="H23" s="82"/>
      <c r="I23" s="82"/>
      <c r="J23" s="82"/>
      <c r="K23" s="82"/>
      <c r="L23" s="82"/>
      <c r="M23" s="82"/>
      <c r="N23" s="82"/>
      <c r="O23" s="86"/>
      <c r="P23" s="86"/>
      <c r="Q23" s="47" t="s">
        <v>78</v>
      </c>
      <c r="R23" s="86"/>
      <c r="S23" s="82"/>
      <c r="T23" s="82"/>
      <c r="U23" s="82"/>
      <c r="V23" s="82"/>
      <c r="W23" s="82"/>
      <c r="X23" s="82"/>
      <c r="Y23" s="82"/>
      <c r="Z23" s="86"/>
      <c r="AA23" s="86"/>
      <c r="AB23" s="87"/>
      <c r="AC23" s="86"/>
      <c r="AD23" s="87"/>
      <c r="AE23" s="87"/>
      <c r="AF23" s="86"/>
      <c r="AG23" s="87"/>
      <c r="AH23" s="86"/>
      <c r="AI23" s="87"/>
      <c r="AJ23" s="87"/>
      <c r="AK23" s="86"/>
      <c r="AL23" s="87"/>
      <c r="AM23" s="87"/>
      <c r="AN23" s="82"/>
      <c r="AO23" s="82"/>
      <c r="AP23" s="82"/>
      <c r="AQ23" s="82"/>
      <c r="AR23" s="82"/>
      <c r="AS23" s="47" t="s">
        <v>78</v>
      </c>
      <c r="AT23" s="82"/>
      <c r="AU23" s="82"/>
      <c r="AV23" s="82"/>
      <c r="AW23" s="82"/>
      <c r="AX23" s="86"/>
      <c r="AY23" s="87"/>
      <c r="AZ23" s="87"/>
      <c r="BA23" s="87"/>
      <c r="BB23" s="87"/>
      <c r="BC23" s="87"/>
      <c r="BD23" s="86"/>
      <c r="BE23" s="86"/>
      <c r="BF23" s="86"/>
      <c r="BG23" s="87"/>
      <c r="BH23" s="86"/>
      <c r="BI23" s="87"/>
      <c r="BJ23" s="87"/>
      <c r="BK23" s="86"/>
      <c r="BL23" s="87"/>
      <c r="BM23" s="87"/>
      <c r="BN23" s="87"/>
      <c r="BO23" s="87"/>
      <c r="BP23" s="87"/>
      <c r="BQ23" s="86"/>
      <c r="BR23" s="87"/>
      <c r="BS23" s="86"/>
      <c r="BT23" s="87"/>
      <c r="BU23" s="87"/>
      <c r="BV23" s="87"/>
      <c r="BW23" s="87"/>
      <c r="BX23" s="87"/>
    </row>
    <row r="24" spans="1:76" ht="15.75" customHeight="1">
      <c r="A24" s="67" t="s">
        <v>123</v>
      </c>
      <c r="B24" s="79" t="s">
        <v>122</v>
      </c>
      <c r="C24" s="47" t="s">
        <v>2</v>
      </c>
      <c r="D24" s="43">
        <f t="shared" si="0"/>
        <v>4</v>
      </c>
      <c r="E24" s="80"/>
      <c r="F24" s="80"/>
      <c r="G24" s="80"/>
      <c r="H24" s="80"/>
      <c r="I24" s="80"/>
      <c r="J24" s="80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47" t="s">
        <v>78</v>
      </c>
      <c r="AB24" s="80"/>
      <c r="AC24" s="80"/>
      <c r="AD24" s="80"/>
      <c r="AE24" s="80"/>
      <c r="AF24" s="80"/>
      <c r="AG24" s="80"/>
      <c r="AH24" s="80"/>
      <c r="AI24" s="80"/>
      <c r="AJ24" s="80"/>
      <c r="AK24" s="80"/>
      <c r="AL24" s="80"/>
      <c r="AM24" s="80"/>
      <c r="AN24" s="80"/>
      <c r="AO24" s="80"/>
      <c r="AP24" s="80"/>
      <c r="AQ24" s="80"/>
      <c r="AR24" s="80"/>
      <c r="AS24" s="47" t="s">
        <v>78</v>
      </c>
      <c r="AT24" s="80"/>
      <c r="AU24" s="80"/>
      <c r="AV24" s="80"/>
      <c r="AW24" s="47" t="s">
        <v>78</v>
      </c>
      <c r="AX24" s="80"/>
      <c r="AY24" s="80"/>
      <c r="AZ24" s="80"/>
      <c r="BA24" s="80"/>
      <c r="BB24" s="80"/>
      <c r="BC24" s="80"/>
      <c r="BD24" s="80"/>
      <c r="BE24" s="80"/>
      <c r="BF24" s="80"/>
      <c r="BG24" s="80"/>
      <c r="BH24" s="80"/>
      <c r="BI24" s="80"/>
      <c r="BJ24" s="80"/>
      <c r="BK24" s="80"/>
      <c r="BL24" s="80"/>
      <c r="BM24" s="80"/>
      <c r="BN24" s="80"/>
      <c r="BO24" s="80"/>
      <c r="BP24" s="80"/>
      <c r="BQ24" s="80"/>
      <c r="BR24" s="80"/>
      <c r="BS24" s="47" t="s">
        <v>78</v>
      </c>
      <c r="BT24" s="80"/>
      <c r="BU24" s="80"/>
      <c r="BV24" s="80"/>
      <c r="BW24" s="80"/>
      <c r="BX24" s="80"/>
    </row>
    <row r="25" spans="1:76" ht="15.75" customHeight="1">
      <c r="A25" s="68" t="s">
        <v>372</v>
      </c>
      <c r="B25" s="81" t="s">
        <v>124</v>
      </c>
      <c r="C25" s="47" t="s">
        <v>2</v>
      </c>
      <c r="D25" s="46">
        <f t="shared" si="0"/>
        <v>19</v>
      </c>
      <c r="E25" s="82"/>
      <c r="F25" s="82"/>
      <c r="G25" s="82"/>
      <c r="H25" s="82"/>
      <c r="I25" s="82"/>
      <c r="J25" s="82"/>
      <c r="K25" s="82"/>
      <c r="L25" s="82"/>
      <c r="M25" s="82"/>
      <c r="N25" s="82"/>
      <c r="O25" s="47" t="s">
        <v>78</v>
      </c>
      <c r="P25" s="47" t="s">
        <v>78</v>
      </c>
      <c r="Q25" s="47" t="s">
        <v>78</v>
      </c>
      <c r="R25" s="47" t="s">
        <v>78</v>
      </c>
      <c r="S25" s="82"/>
      <c r="T25" s="82"/>
      <c r="U25" s="82"/>
      <c r="V25" s="82"/>
      <c r="W25" s="82"/>
      <c r="X25" s="82"/>
      <c r="Y25" s="82"/>
      <c r="Z25" s="47" t="s">
        <v>78</v>
      </c>
      <c r="AA25" s="47" t="s">
        <v>78</v>
      </c>
      <c r="AB25" s="82"/>
      <c r="AC25" s="47" t="s">
        <v>78</v>
      </c>
      <c r="AD25" s="82"/>
      <c r="AE25" s="82"/>
      <c r="AF25" s="47" t="s">
        <v>78</v>
      </c>
      <c r="AG25" s="82"/>
      <c r="AH25" s="47" t="s">
        <v>78</v>
      </c>
      <c r="AI25" s="82"/>
      <c r="AJ25" s="82"/>
      <c r="AK25" s="47" t="s">
        <v>78</v>
      </c>
      <c r="AL25" s="82"/>
      <c r="AM25" s="82"/>
      <c r="AN25" s="82"/>
      <c r="AO25" s="82"/>
      <c r="AP25" s="82"/>
      <c r="AQ25" s="82"/>
      <c r="AR25" s="82"/>
      <c r="AS25" s="47" t="s">
        <v>78</v>
      </c>
      <c r="AT25" s="82"/>
      <c r="AU25" s="82"/>
      <c r="AV25" s="82"/>
      <c r="AW25" s="82"/>
      <c r="AX25" s="47" t="s">
        <v>78</v>
      </c>
      <c r="AY25" s="82"/>
      <c r="AZ25" s="82"/>
      <c r="BA25" s="82"/>
      <c r="BB25" s="82"/>
      <c r="BC25" s="82"/>
      <c r="BD25" s="47" t="s">
        <v>78</v>
      </c>
      <c r="BE25" s="47" t="s">
        <v>78</v>
      </c>
      <c r="BF25" s="47" t="s">
        <v>78</v>
      </c>
      <c r="BG25" s="82"/>
      <c r="BH25" s="47" t="s">
        <v>78</v>
      </c>
      <c r="BI25" s="82"/>
      <c r="BJ25" s="82"/>
      <c r="BK25" s="47" t="s">
        <v>78</v>
      </c>
      <c r="BL25" s="82"/>
      <c r="BM25" s="82"/>
      <c r="BN25" s="82"/>
      <c r="BO25" s="82"/>
      <c r="BP25" s="82"/>
      <c r="BQ25" s="47" t="s">
        <v>78</v>
      </c>
      <c r="BR25" s="82"/>
      <c r="BS25" s="47" t="s">
        <v>78</v>
      </c>
      <c r="BT25" s="82"/>
      <c r="BU25" s="82"/>
      <c r="BV25" s="82"/>
      <c r="BW25" s="82"/>
      <c r="BX25" s="82"/>
    </row>
    <row r="26" spans="1:76" ht="15.75" customHeight="1">
      <c r="A26" s="67" t="s">
        <v>127</v>
      </c>
      <c r="B26" s="79" t="s">
        <v>126</v>
      </c>
      <c r="C26" s="47" t="s">
        <v>2</v>
      </c>
      <c r="D26" s="43">
        <f t="shared" si="0"/>
        <v>19</v>
      </c>
      <c r="E26" s="80"/>
      <c r="F26" s="80"/>
      <c r="G26" s="80"/>
      <c r="H26" s="80"/>
      <c r="I26" s="80"/>
      <c r="J26" s="80"/>
      <c r="K26" s="80"/>
      <c r="L26" s="80"/>
      <c r="M26" s="80"/>
      <c r="N26" s="80"/>
      <c r="O26" s="47" t="s">
        <v>78</v>
      </c>
      <c r="P26" s="47" t="s">
        <v>78</v>
      </c>
      <c r="Q26" s="47" t="s">
        <v>78</v>
      </c>
      <c r="R26" s="47" t="s">
        <v>78</v>
      </c>
      <c r="S26" s="80"/>
      <c r="T26" s="80"/>
      <c r="U26" s="80"/>
      <c r="V26" s="80"/>
      <c r="W26" s="80"/>
      <c r="X26" s="80"/>
      <c r="Y26" s="80"/>
      <c r="Z26" s="47" t="s">
        <v>78</v>
      </c>
      <c r="AA26" s="47" t="s">
        <v>78</v>
      </c>
      <c r="AB26" s="80"/>
      <c r="AC26" s="47" t="s">
        <v>78</v>
      </c>
      <c r="AD26" s="80"/>
      <c r="AE26" s="80"/>
      <c r="AF26" s="47" t="s">
        <v>78</v>
      </c>
      <c r="AG26" s="80"/>
      <c r="AH26" s="47" t="s">
        <v>78</v>
      </c>
      <c r="AI26" s="80"/>
      <c r="AJ26" s="80"/>
      <c r="AK26" s="47" t="s">
        <v>78</v>
      </c>
      <c r="AL26" s="80"/>
      <c r="AM26" s="80"/>
      <c r="AN26" s="80"/>
      <c r="AO26" s="80"/>
      <c r="AP26" s="80"/>
      <c r="AQ26" s="80"/>
      <c r="AR26" s="80"/>
      <c r="AS26" s="47" t="s">
        <v>78</v>
      </c>
      <c r="AT26" s="80"/>
      <c r="AU26" s="80"/>
      <c r="AV26" s="80"/>
      <c r="AW26" s="80"/>
      <c r="AX26" s="47" t="s">
        <v>78</v>
      </c>
      <c r="AY26" s="80"/>
      <c r="AZ26" s="80"/>
      <c r="BA26" s="80"/>
      <c r="BB26" s="80"/>
      <c r="BC26" s="80"/>
      <c r="BD26" s="47" t="s">
        <v>78</v>
      </c>
      <c r="BE26" s="47" t="s">
        <v>78</v>
      </c>
      <c r="BF26" s="47" t="s">
        <v>78</v>
      </c>
      <c r="BG26" s="80"/>
      <c r="BH26" s="47" t="s">
        <v>78</v>
      </c>
      <c r="BI26" s="80"/>
      <c r="BJ26" s="80"/>
      <c r="BK26" s="47" t="s">
        <v>78</v>
      </c>
      <c r="BL26" s="80"/>
      <c r="BM26" s="80"/>
      <c r="BN26" s="80"/>
      <c r="BO26" s="80"/>
      <c r="BP26" s="80"/>
      <c r="BQ26" s="47" t="s">
        <v>78</v>
      </c>
      <c r="BR26" s="80"/>
      <c r="BS26" s="47" t="s">
        <v>78</v>
      </c>
      <c r="BT26" s="80"/>
      <c r="BU26" s="80"/>
      <c r="BV26" s="80"/>
      <c r="BW26" s="80"/>
      <c r="BX26" s="80"/>
    </row>
    <row r="27" spans="1:76" ht="15.75" customHeight="1">
      <c r="A27" s="68" t="s">
        <v>373</v>
      </c>
      <c r="B27" s="88" t="s">
        <v>374</v>
      </c>
      <c r="C27" s="85" t="s">
        <v>240</v>
      </c>
      <c r="D27" s="46">
        <f t="shared" si="0"/>
        <v>18</v>
      </c>
      <c r="E27" s="47" t="s">
        <v>78</v>
      </c>
      <c r="F27" s="82"/>
      <c r="G27" s="82"/>
      <c r="H27" s="82"/>
      <c r="I27" s="82"/>
      <c r="J27" s="47" t="s">
        <v>78</v>
      </c>
      <c r="K27" s="82"/>
      <c r="L27" s="82"/>
      <c r="M27" s="82"/>
      <c r="N27" s="82"/>
      <c r="O27" s="47" t="s">
        <v>78</v>
      </c>
      <c r="P27" s="47" t="s">
        <v>78</v>
      </c>
      <c r="Q27" s="47" t="s">
        <v>78</v>
      </c>
      <c r="R27" s="82"/>
      <c r="S27" s="82"/>
      <c r="T27" s="82"/>
      <c r="U27" s="82"/>
      <c r="V27" s="82"/>
      <c r="W27" s="82"/>
      <c r="X27" s="82"/>
      <c r="Y27" s="82"/>
      <c r="Z27" s="47" t="s">
        <v>78</v>
      </c>
      <c r="AA27" s="47" t="s">
        <v>78</v>
      </c>
      <c r="AB27" s="82"/>
      <c r="AC27" s="47" t="s">
        <v>78</v>
      </c>
      <c r="AD27" s="82"/>
      <c r="AE27" s="47" t="s">
        <v>78</v>
      </c>
      <c r="AF27" s="82"/>
      <c r="AG27" s="47" t="s">
        <v>78</v>
      </c>
      <c r="AH27" s="82"/>
      <c r="AI27" s="82"/>
      <c r="AJ27" s="47" t="s">
        <v>78</v>
      </c>
      <c r="AK27" s="47" t="s">
        <v>78</v>
      </c>
      <c r="AL27" s="82"/>
      <c r="AM27" s="82"/>
      <c r="AN27" s="82"/>
      <c r="AO27" s="82"/>
      <c r="AP27" s="82"/>
      <c r="AQ27" s="47" t="s">
        <v>78</v>
      </c>
      <c r="AR27" s="82"/>
      <c r="AS27" s="82"/>
      <c r="AT27" s="47" t="s">
        <v>78</v>
      </c>
      <c r="AU27" s="82"/>
      <c r="AV27" s="82"/>
      <c r="AW27" s="82"/>
      <c r="AX27" s="82"/>
      <c r="AY27" s="82"/>
      <c r="AZ27" s="82"/>
      <c r="BA27" s="82"/>
      <c r="BB27" s="82"/>
      <c r="BC27" s="82"/>
      <c r="BD27" s="82"/>
      <c r="BE27" s="47" t="s">
        <v>78</v>
      </c>
      <c r="BF27" s="82"/>
      <c r="BG27" s="82"/>
      <c r="BH27" s="47" t="s">
        <v>78</v>
      </c>
      <c r="BI27" s="82"/>
      <c r="BJ27" s="82"/>
      <c r="BK27" s="82"/>
      <c r="BL27" s="82"/>
      <c r="BM27" s="82"/>
      <c r="BN27" s="47" t="s">
        <v>78</v>
      </c>
      <c r="BO27" s="47" t="s">
        <v>78</v>
      </c>
      <c r="BP27" s="82"/>
      <c r="BQ27" s="82"/>
      <c r="BR27" s="82"/>
      <c r="BS27" s="82"/>
      <c r="BT27" s="82"/>
      <c r="BU27" s="82"/>
      <c r="BV27" s="82"/>
      <c r="BW27" s="82"/>
      <c r="BX27" s="82"/>
    </row>
    <row r="28" spans="1:76" ht="15.75" customHeight="1">
      <c r="A28" s="67" t="s">
        <v>131</v>
      </c>
      <c r="B28" s="89" t="s">
        <v>375</v>
      </c>
      <c r="C28" s="84" t="s">
        <v>240</v>
      </c>
      <c r="D28" s="43">
        <f t="shared" si="0"/>
        <v>11</v>
      </c>
      <c r="E28" s="80"/>
      <c r="F28" s="80"/>
      <c r="G28" s="80"/>
      <c r="H28" s="80"/>
      <c r="I28" s="80"/>
      <c r="J28" s="80"/>
      <c r="K28" s="80"/>
      <c r="L28" s="80"/>
      <c r="M28" s="80"/>
      <c r="N28" s="80"/>
      <c r="O28" s="80"/>
      <c r="P28" s="80"/>
      <c r="Q28" s="80"/>
      <c r="R28" s="47" t="s">
        <v>78</v>
      </c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47" t="s">
        <v>78</v>
      </c>
      <c r="AG28" s="80"/>
      <c r="AH28" s="47" t="s">
        <v>78</v>
      </c>
      <c r="AI28" s="80"/>
      <c r="AJ28" s="80"/>
      <c r="AK28" s="80"/>
      <c r="AL28" s="80"/>
      <c r="AM28" s="80"/>
      <c r="AN28" s="80"/>
      <c r="AO28" s="80"/>
      <c r="AP28" s="80"/>
      <c r="AQ28" s="80"/>
      <c r="AR28" s="80"/>
      <c r="AS28" s="47" t="s">
        <v>78</v>
      </c>
      <c r="AT28" s="80"/>
      <c r="AU28" s="80"/>
      <c r="AV28" s="80"/>
      <c r="AW28" s="80"/>
      <c r="AX28" s="47" t="s">
        <v>78</v>
      </c>
      <c r="AY28" s="80"/>
      <c r="AZ28" s="80"/>
      <c r="BA28" s="80"/>
      <c r="BB28" s="80"/>
      <c r="BC28" s="80"/>
      <c r="BD28" s="47" t="s">
        <v>78</v>
      </c>
      <c r="BE28" s="80"/>
      <c r="BF28" s="47" t="s">
        <v>78</v>
      </c>
      <c r="BG28" s="80"/>
      <c r="BH28" s="80"/>
      <c r="BI28" s="80"/>
      <c r="BJ28" s="80"/>
      <c r="BK28" s="47" t="s">
        <v>78</v>
      </c>
      <c r="BL28" s="80"/>
      <c r="BM28" s="80"/>
      <c r="BN28" s="80"/>
      <c r="BO28" s="80"/>
      <c r="BP28" s="80"/>
      <c r="BQ28" s="47" t="s">
        <v>78</v>
      </c>
      <c r="BR28" s="80"/>
      <c r="BS28" s="47" t="s">
        <v>78</v>
      </c>
      <c r="BT28" s="47" t="s">
        <v>78</v>
      </c>
      <c r="BU28" s="80"/>
      <c r="BV28" s="80"/>
      <c r="BW28" s="80"/>
      <c r="BX28" s="80"/>
    </row>
    <row r="29" spans="1:76" ht="15.75" customHeight="1">
      <c r="A29" s="68" t="s">
        <v>133</v>
      </c>
      <c r="B29" s="88" t="s">
        <v>376</v>
      </c>
      <c r="C29" s="85" t="s">
        <v>240</v>
      </c>
      <c r="D29" s="46">
        <f t="shared" si="0"/>
        <v>20</v>
      </c>
      <c r="E29" s="82"/>
      <c r="F29" s="47" t="s">
        <v>78</v>
      </c>
      <c r="G29" s="47" t="s">
        <v>78</v>
      </c>
      <c r="H29" s="47" t="s">
        <v>78</v>
      </c>
      <c r="I29" s="82"/>
      <c r="J29" s="82"/>
      <c r="K29" s="47" t="s">
        <v>78</v>
      </c>
      <c r="L29" s="82"/>
      <c r="M29" s="47" t="s">
        <v>78</v>
      </c>
      <c r="N29" s="47" t="s">
        <v>78</v>
      </c>
      <c r="O29" s="82"/>
      <c r="P29" s="82"/>
      <c r="Q29" s="82"/>
      <c r="R29" s="82"/>
      <c r="S29" s="82"/>
      <c r="T29" s="47" t="s">
        <v>78</v>
      </c>
      <c r="U29" s="47" t="s">
        <v>78</v>
      </c>
      <c r="V29" s="47" t="s">
        <v>78</v>
      </c>
      <c r="W29" s="82"/>
      <c r="X29" s="82"/>
      <c r="Y29" s="82"/>
      <c r="Z29" s="82"/>
      <c r="AA29" s="82"/>
      <c r="AB29" s="82"/>
      <c r="AC29" s="82"/>
      <c r="AD29" s="47" t="s">
        <v>78</v>
      </c>
      <c r="AE29" s="82"/>
      <c r="AF29" s="82"/>
      <c r="AG29" s="82"/>
      <c r="AH29" s="82"/>
      <c r="AI29" s="82"/>
      <c r="AJ29" s="82"/>
      <c r="AK29" s="82"/>
      <c r="AL29" s="82"/>
      <c r="AM29" s="82"/>
      <c r="AN29" s="82"/>
      <c r="AO29" s="82"/>
      <c r="AP29" s="82"/>
      <c r="AQ29" s="82"/>
      <c r="AR29" s="82"/>
      <c r="AS29" s="82"/>
      <c r="AT29" s="82"/>
      <c r="AU29" s="82"/>
      <c r="AV29" s="82"/>
      <c r="AW29" s="82"/>
      <c r="AX29" s="82"/>
      <c r="AY29" s="47" t="s">
        <v>78</v>
      </c>
      <c r="AZ29" s="47" t="s">
        <v>78</v>
      </c>
      <c r="BA29" s="47" t="s">
        <v>78</v>
      </c>
      <c r="BB29" s="82"/>
      <c r="BC29" s="47" t="s">
        <v>78</v>
      </c>
      <c r="BD29" s="82"/>
      <c r="BE29" s="82"/>
      <c r="BF29" s="82"/>
      <c r="BG29" s="47" t="s">
        <v>78</v>
      </c>
      <c r="BH29" s="82"/>
      <c r="BI29" s="47" t="s">
        <v>78</v>
      </c>
      <c r="BJ29" s="82"/>
      <c r="BK29" s="82"/>
      <c r="BL29" s="47" t="s">
        <v>78</v>
      </c>
      <c r="BM29" s="47" t="s">
        <v>78</v>
      </c>
      <c r="BN29" s="82"/>
      <c r="BO29" s="82"/>
      <c r="BP29" s="47" t="s">
        <v>78</v>
      </c>
      <c r="BQ29" s="82"/>
      <c r="BR29" s="47" t="s">
        <v>78</v>
      </c>
      <c r="BS29" s="82"/>
      <c r="BT29" s="82"/>
      <c r="BU29" s="82"/>
      <c r="BV29" s="82"/>
      <c r="BW29" s="82"/>
      <c r="BX29" s="82"/>
    </row>
    <row r="30" spans="1:76" ht="15.75" customHeight="1">
      <c r="A30" s="67" t="s">
        <v>377</v>
      </c>
      <c r="B30" s="79" t="s">
        <v>134</v>
      </c>
      <c r="C30" s="84" t="s">
        <v>240</v>
      </c>
      <c r="D30" s="43">
        <f t="shared" si="0"/>
        <v>23</v>
      </c>
      <c r="E30" s="80"/>
      <c r="F30" s="80"/>
      <c r="G30" s="80"/>
      <c r="H30" s="80"/>
      <c r="I30" s="47" t="s">
        <v>78</v>
      </c>
      <c r="J30" s="80"/>
      <c r="K30" s="80"/>
      <c r="L30" s="47" t="s">
        <v>78</v>
      </c>
      <c r="M30" s="80"/>
      <c r="N30" s="80"/>
      <c r="O30" s="80"/>
      <c r="P30" s="80"/>
      <c r="Q30" s="80"/>
      <c r="R30" s="80"/>
      <c r="S30" s="47" t="s">
        <v>78</v>
      </c>
      <c r="T30" s="80"/>
      <c r="U30" s="80"/>
      <c r="V30" s="80"/>
      <c r="W30" s="47" t="s">
        <v>78</v>
      </c>
      <c r="X30" s="47" t="s">
        <v>78</v>
      </c>
      <c r="Y30" s="47" t="s">
        <v>78</v>
      </c>
      <c r="Z30" s="80"/>
      <c r="AA30" s="80"/>
      <c r="AB30" s="47" t="s">
        <v>78</v>
      </c>
      <c r="AC30" s="80"/>
      <c r="AD30" s="80"/>
      <c r="AE30" s="80"/>
      <c r="AF30" s="80"/>
      <c r="AG30" s="80"/>
      <c r="AH30" s="80"/>
      <c r="AI30" s="47" t="s">
        <v>78</v>
      </c>
      <c r="AJ30" s="80"/>
      <c r="AK30" s="80"/>
      <c r="AL30" s="47" t="s">
        <v>78</v>
      </c>
      <c r="AM30" s="47" t="s">
        <v>78</v>
      </c>
      <c r="AN30" s="47" t="s">
        <v>78</v>
      </c>
      <c r="AO30" s="47" t="s">
        <v>78</v>
      </c>
      <c r="AP30" s="47" t="s">
        <v>78</v>
      </c>
      <c r="AQ30" s="80"/>
      <c r="AR30" s="47" t="s">
        <v>78</v>
      </c>
      <c r="AS30" s="80"/>
      <c r="AT30" s="80"/>
      <c r="AU30" s="47" t="s">
        <v>78</v>
      </c>
      <c r="AV30" s="47" t="s">
        <v>78</v>
      </c>
      <c r="AW30" s="47" t="s">
        <v>78</v>
      </c>
      <c r="AX30" s="80"/>
      <c r="AY30" s="80"/>
      <c r="AZ30" s="80"/>
      <c r="BA30" s="80"/>
      <c r="BB30" s="47" t="s">
        <v>78</v>
      </c>
      <c r="BC30" s="80"/>
      <c r="BD30" s="80"/>
      <c r="BE30" s="80"/>
      <c r="BF30" s="80"/>
      <c r="BG30" s="80"/>
      <c r="BH30" s="80"/>
      <c r="BI30" s="80"/>
      <c r="BJ30" s="47" t="s">
        <v>78</v>
      </c>
      <c r="BK30" s="80"/>
      <c r="BL30" s="80"/>
      <c r="BM30" s="80"/>
      <c r="BN30" s="80"/>
      <c r="BO30" s="80"/>
      <c r="BP30" s="80"/>
      <c r="BQ30" s="80"/>
      <c r="BR30" s="80"/>
      <c r="BS30" s="80"/>
      <c r="BT30" s="80"/>
      <c r="BU30" s="47" t="s">
        <v>78</v>
      </c>
      <c r="BV30" s="47" t="s">
        <v>78</v>
      </c>
      <c r="BW30" s="47" t="s">
        <v>78</v>
      </c>
      <c r="BX30" s="47" t="s">
        <v>78</v>
      </c>
    </row>
    <row r="31" spans="1:76" ht="15.75" customHeight="1">
      <c r="A31" s="68" t="s">
        <v>137</v>
      </c>
      <c r="B31" s="81" t="s">
        <v>136</v>
      </c>
      <c r="C31" s="85" t="s">
        <v>240</v>
      </c>
      <c r="D31" s="46">
        <f t="shared" si="0"/>
        <v>10</v>
      </c>
      <c r="E31" s="82"/>
      <c r="F31" s="82"/>
      <c r="G31" s="82"/>
      <c r="H31" s="82"/>
      <c r="I31" s="82"/>
      <c r="J31" s="82"/>
      <c r="K31" s="82"/>
      <c r="L31" s="82"/>
      <c r="M31" s="82"/>
      <c r="N31" s="82"/>
      <c r="O31" s="82"/>
      <c r="P31" s="82"/>
      <c r="Q31" s="82"/>
      <c r="R31" s="47" t="s">
        <v>78</v>
      </c>
      <c r="S31" s="82"/>
      <c r="T31" s="82"/>
      <c r="U31" s="82"/>
      <c r="V31" s="82"/>
      <c r="W31" s="82"/>
      <c r="X31" s="47" t="s">
        <v>78</v>
      </c>
      <c r="Y31" s="82"/>
      <c r="Z31" s="82"/>
      <c r="AA31" s="82"/>
      <c r="AB31" s="82"/>
      <c r="AC31" s="82"/>
      <c r="AD31" s="82"/>
      <c r="AE31" s="82"/>
      <c r="AF31" s="82"/>
      <c r="AG31" s="82"/>
      <c r="AH31" s="47" t="s">
        <v>78</v>
      </c>
      <c r="AI31" s="82"/>
      <c r="AJ31" s="82"/>
      <c r="AK31" s="82"/>
      <c r="AL31" s="82"/>
      <c r="AM31" s="82"/>
      <c r="AN31" s="82"/>
      <c r="AO31" s="82"/>
      <c r="AP31" s="82"/>
      <c r="AQ31" s="82"/>
      <c r="AR31" s="82"/>
      <c r="AS31" s="47" t="s">
        <v>78</v>
      </c>
      <c r="AT31" s="82"/>
      <c r="AU31" s="82"/>
      <c r="AV31" s="82"/>
      <c r="AW31" s="82"/>
      <c r="AX31" s="47" t="s">
        <v>78</v>
      </c>
      <c r="AY31" s="82"/>
      <c r="AZ31" s="82"/>
      <c r="BA31" s="82"/>
      <c r="BB31" s="82"/>
      <c r="BC31" s="82"/>
      <c r="BD31" s="47" t="s">
        <v>78</v>
      </c>
      <c r="BE31" s="82"/>
      <c r="BF31" s="82"/>
      <c r="BG31" s="82"/>
      <c r="BH31" s="82"/>
      <c r="BI31" s="82"/>
      <c r="BJ31" s="82"/>
      <c r="BK31" s="47" t="s">
        <v>78</v>
      </c>
      <c r="BL31" s="82"/>
      <c r="BM31" s="82"/>
      <c r="BN31" s="82"/>
      <c r="BO31" s="82"/>
      <c r="BP31" s="82"/>
      <c r="BQ31" s="47" t="s">
        <v>78</v>
      </c>
      <c r="BR31" s="82"/>
      <c r="BS31" s="47" t="s">
        <v>78</v>
      </c>
      <c r="BT31" s="47" t="s">
        <v>78</v>
      </c>
      <c r="BU31" s="82"/>
      <c r="BV31" s="82"/>
      <c r="BW31" s="82"/>
      <c r="BX31" s="82"/>
    </row>
    <row r="32" spans="1:76" ht="15.75" customHeight="1">
      <c r="A32" s="67" t="s">
        <v>139</v>
      </c>
      <c r="B32" s="79" t="s">
        <v>138</v>
      </c>
      <c r="C32" s="84" t="s">
        <v>240</v>
      </c>
      <c r="D32" s="43">
        <f t="shared" si="0"/>
        <v>16</v>
      </c>
      <c r="E32" s="80"/>
      <c r="F32" s="80"/>
      <c r="G32" s="80"/>
      <c r="H32" s="80"/>
      <c r="I32" s="47" t="s">
        <v>78</v>
      </c>
      <c r="J32" s="80"/>
      <c r="K32" s="80"/>
      <c r="L32" s="47" t="s">
        <v>78</v>
      </c>
      <c r="M32" s="80"/>
      <c r="N32" s="80"/>
      <c r="O32" s="80"/>
      <c r="P32" s="80"/>
      <c r="Q32" s="80"/>
      <c r="R32" s="80"/>
      <c r="S32" s="47" t="s">
        <v>78</v>
      </c>
      <c r="T32" s="80"/>
      <c r="U32" s="80"/>
      <c r="V32" s="80"/>
      <c r="W32" s="47" t="s">
        <v>78</v>
      </c>
      <c r="X32" s="80"/>
      <c r="Y32" s="47" t="s">
        <v>78</v>
      </c>
      <c r="Z32" s="80"/>
      <c r="AA32" s="80"/>
      <c r="AB32" s="80"/>
      <c r="AC32" s="80"/>
      <c r="AD32" s="80"/>
      <c r="AE32" s="80"/>
      <c r="AF32" s="80"/>
      <c r="AG32" s="80"/>
      <c r="AH32" s="80"/>
      <c r="AI32" s="47" t="s">
        <v>78</v>
      </c>
      <c r="AJ32" s="80"/>
      <c r="AK32" s="80"/>
      <c r="AL32" s="47" t="s">
        <v>78</v>
      </c>
      <c r="AM32" s="80"/>
      <c r="AN32" s="47" t="s">
        <v>78</v>
      </c>
      <c r="AO32" s="80"/>
      <c r="AP32" s="47" t="s">
        <v>78</v>
      </c>
      <c r="AQ32" s="80"/>
      <c r="AR32" s="47" t="s">
        <v>78</v>
      </c>
      <c r="AS32" s="80"/>
      <c r="AT32" s="80"/>
      <c r="AU32" s="47" t="s">
        <v>78</v>
      </c>
      <c r="AV32" s="80"/>
      <c r="AW32" s="47" t="s">
        <v>78</v>
      </c>
      <c r="AX32" s="80"/>
      <c r="AY32" s="80"/>
      <c r="AZ32" s="80"/>
      <c r="BA32" s="80"/>
      <c r="BB32" s="80"/>
      <c r="BC32" s="80"/>
      <c r="BD32" s="80"/>
      <c r="BE32" s="80"/>
      <c r="BF32" s="80"/>
      <c r="BG32" s="80"/>
      <c r="BH32" s="80"/>
      <c r="BI32" s="80"/>
      <c r="BJ32" s="47" t="s">
        <v>78</v>
      </c>
      <c r="BK32" s="80"/>
      <c r="BL32" s="80"/>
      <c r="BM32" s="80"/>
      <c r="BN32" s="80"/>
      <c r="BO32" s="80"/>
      <c r="BP32" s="80"/>
      <c r="BQ32" s="80"/>
      <c r="BR32" s="80"/>
      <c r="BS32" s="80"/>
      <c r="BT32" s="80"/>
      <c r="BU32" s="47" t="s">
        <v>78</v>
      </c>
      <c r="BV32" s="47" t="s">
        <v>78</v>
      </c>
      <c r="BW32" s="47" t="s">
        <v>78</v>
      </c>
      <c r="BX32" s="80"/>
    </row>
    <row r="33" spans="1:76" ht="15.75" customHeight="1">
      <c r="A33" s="68" t="s">
        <v>141</v>
      </c>
      <c r="B33" s="81" t="s">
        <v>140</v>
      </c>
      <c r="C33" s="85" t="s">
        <v>240</v>
      </c>
      <c r="D33" s="46">
        <f t="shared" si="0"/>
        <v>19</v>
      </c>
      <c r="E33" s="47" t="s">
        <v>78</v>
      </c>
      <c r="F33" s="82"/>
      <c r="G33" s="82"/>
      <c r="H33" s="82"/>
      <c r="I33" s="82"/>
      <c r="J33" s="47" t="s">
        <v>78</v>
      </c>
      <c r="K33" s="82"/>
      <c r="L33" s="82"/>
      <c r="M33" s="47" t="s">
        <v>78</v>
      </c>
      <c r="N33" s="47" t="s">
        <v>78</v>
      </c>
      <c r="O33" s="82"/>
      <c r="P33" s="47" t="s">
        <v>78</v>
      </c>
      <c r="Q33" s="82"/>
      <c r="R33" s="82"/>
      <c r="S33" s="82"/>
      <c r="T33" s="82"/>
      <c r="U33" s="47" t="s">
        <v>78</v>
      </c>
      <c r="V33" s="47" t="s">
        <v>78</v>
      </c>
      <c r="W33" s="82"/>
      <c r="X33" s="82"/>
      <c r="Y33" s="82"/>
      <c r="Z33" s="82"/>
      <c r="AA33" s="82"/>
      <c r="AB33" s="82"/>
      <c r="AC33" s="82"/>
      <c r="AD33" s="82"/>
      <c r="AE33" s="47" t="s">
        <v>78</v>
      </c>
      <c r="AF33" s="82"/>
      <c r="AG33" s="47" t="s">
        <v>78</v>
      </c>
      <c r="AH33" s="82"/>
      <c r="AI33" s="82"/>
      <c r="AJ33" s="47" t="s">
        <v>78</v>
      </c>
      <c r="AK33" s="82"/>
      <c r="AL33" s="82"/>
      <c r="AM33" s="82"/>
      <c r="AN33" s="82"/>
      <c r="AO33" s="47" t="s">
        <v>78</v>
      </c>
      <c r="AP33" s="82"/>
      <c r="AQ33" s="82"/>
      <c r="AR33" s="82"/>
      <c r="AS33" s="82"/>
      <c r="AT33" s="47" t="s">
        <v>78</v>
      </c>
      <c r="AU33" s="82"/>
      <c r="AV33" s="82"/>
      <c r="AW33" s="82"/>
      <c r="AX33" s="82"/>
      <c r="AY33" s="47" t="s">
        <v>78</v>
      </c>
      <c r="AZ33" s="47" t="s">
        <v>78</v>
      </c>
      <c r="BA33" s="82"/>
      <c r="BB33" s="47" t="s">
        <v>78</v>
      </c>
      <c r="BC33" s="82"/>
      <c r="BD33" s="82"/>
      <c r="BE33" s="47" t="s">
        <v>78</v>
      </c>
      <c r="BF33" s="82"/>
      <c r="BG33" s="82"/>
      <c r="BH33" s="82"/>
      <c r="BI33" s="82"/>
      <c r="BJ33" s="82"/>
      <c r="BK33" s="82"/>
      <c r="BL33" s="82"/>
      <c r="BM33" s="82"/>
      <c r="BN33" s="47" t="s">
        <v>78</v>
      </c>
      <c r="BO33" s="47" t="s">
        <v>78</v>
      </c>
      <c r="BP33" s="82"/>
      <c r="BQ33" s="82"/>
      <c r="BR33" s="82"/>
      <c r="BS33" s="82"/>
      <c r="BT33" s="82"/>
      <c r="BU33" s="82"/>
      <c r="BV33" s="82"/>
      <c r="BW33" s="82"/>
      <c r="BX33" s="47" t="s">
        <v>78</v>
      </c>
    </row>
    <row r="34" spans="1:76" ht="15.75" customHeight="1">
      <c r="A34" s="67" t="s">
        <v>143</v>
      </c>
      <c r="B34" s="79" t="s">
        <v>142</v>
      </c>
      <c r="C34" s="47" t="s">
        <v>2</v>
      </c>
      <c r="D34" s="43">
        <f t="shared" si="0"/>
        <v>0</v>
      </c>
      <c r="E34" s="80"/>
      <c r="F34" s="80"/>
      <c r="G34" s="80"/>
      <c r="H34" s="80"/>
      <c r="I34" s="80"/>
      <c r="J34" s="80"/>
      <c r="K34" s="80"/>
      <c r="L34" s="80"/>
      <c r="M34" s="80"/>
      <c r="N34" s="80"/>
      <c r="O34" s="80"/>
      <c r="P34" s="80"/>
      <c r="Q34" s="80"/>
      <c r="R34" s="80"/>
      <c r="S34" s="80"/>
      <c r="T34" s="80"/>
      <c r="U34" s="80"/>
      <c r="V34" s="80"/>
      <c r="W34" s="80"/>
      <c r="X34" s="80"/>
      <c r="Y34" s="80"/>
      <c r="Z34" s="80"/>
      <c r="AA34" s="80"/>
      <c r="AB34" s="80"/>
      <c r="AC34" s="80"/>
      <c r="AD34" s="80"/>
      <c r="AE34" s="80"/>
      <c r="AF34" s="80"/>
      <c r="AG34" s="80"/>
      <c r="AH34" s="80"/>
      <c r="AI34" s="80"/>
      <c r="AJ34" s="80"/>
      <c r="AK34" s="80"/>
      <c r="AL34" s="80"/>
      <c r="AM34" s="80"/>
      <c r="AN34" s="80"/>
      <c r="AO34" s="80"/>
      <c r="AP34" s="80"/>
      <c r="AQ34" s="80"/>
      <c r="AR34" s="80"/>
      <c r="AS34" s="80"/>
      <c r="AT34" s="80"/>
      <c r="AU34" s="80"/>
      <c r="AV34" s="80"/>
      <c r="AW34" s="80"/>
      <c r="AX34" s="80"/>
      <c r="AY34" s="80"/>
      <c r="AZ34" s="80"/>
      <c r="BA34" s="80"/>
      <c r="BB34" s="80"/>
      <c r="BC34" s="80"/>
      <c r="BD34" s="80"/>
      <c r="BE34" s="80"/>
      <c r="BF34" s="80"/>
      <c r="BG34" s="80"/>
      <c r="BH34" s="80"/>
      <c r="BI34" s="80"/>
      <c r="BJ34" s="80"/>
      <c r="BK34" s="80"/>
      <c r="BL34" s="80"/>
      <c r="BM34" s="80"/>
      <c r="BN34" s="80"/>
      <c r="BO34" s="80"/>
      <c r="BP34" s="80"/>
      <c r="BQ34" s="80"/>
      <c r="BR34" s="80"/>
      <c r="BS34" s="80"/>
      <c r="BT34" s="80"/>
      <c r="BU34" s="80"/>
      <c r="BV34" s="80"/>
      <c r="BW34" s="80"/>
      <c r="BX34" s="80"/>
    </row>
    <row r="35" spans="1:76" ht="15.75" customHeight="1">
      <c r="A35" s="68" t="s">
        <v>145</v>
      </c>
      <c r="B35" s="81" t="s">
        <v>144</v>
      </c>
      <c r="C35" s="85" t="s">
        <v>240</v>
      </c>
      <c r="D35" s="46">
        <f t="shared" si="0"/>
        <v>21</v>
      </c>
      <c r="E35" s="82"/>
      <c r="F35" s="82"/>
      <c r="G35" s="82"/>
      <c r="H35" s="82"/>
      <c r="I35" s="47" t="s">
        <v>78</v>
      </c>
      <c r="J35" s="82"/>
      <c r="K35" s="82"/>
      <c r="L35" s="47" t="s">
        <v>78</v>
      </c>
      <c r="M35" s="82"/>
      <c r="N35" s="82"/>
      <c r="O35" s="82"/>
      <c r="P35" s="82"/>
      <c r="Q35" s="82"/>
      <c r="R35" s="47" t="s">
        <v>78</v>
      </c>
      <c r="S35" s="47" t="s">
        <v>78</v>
      </c>
      <c r="T35" s="82"/>
      <c r="U35" s="82"/>
      <c r="V35" s="82"/>
      <c r="W35" s="82"/>
      <c r="X35" s="47" t="s">
        <v>78</v>
      </c>
      <c r="Y35" s="82"/>
      <c r="Z35" s="82"/>
      <c r="AA35" s="82"/>
      <c r="AB35" s="47" t="s">
        <v>78</v>
      </c>
      <c r="AC35" s="82"/>
      <c r="AD35" s="82"/>
      <c r="AE35" s="82"/>
      <c r="AF35" s="82"/>
      <c r="AG35" s="82"/>
      <c r="AH35" s="82"/>
      <c r="AI35" s="47" t="s">
        <v>78</v>
      </c>
      <c r="AJ35" s="82"/>
      <c r="AK35" s="82"/>
      <c r="AL35" s="82"/>
      <c r="AM35" s="82"/>
      <c r="AN35" s="47" t="s">
        <v>78</v>
      </c>
      <c r="AO35" s="82"/>
      <c r="AP35" s="47" t="s">
        <v>78</v>
      </c>
      <c r="AQ35" s="82"/>
      <c r="AR35" s="47" t="s">
        <v>78</v>
      </c>
      <c r="AS35" s="47" t="s">
        <v>78</v>
      </c>
      <c r="AT35" s="82"/>
      <c r="AU35" s="47" t="s">
        <v>78</v>
      </c>
      <c r="AV35" s="82"/>
      <c r="AW35" s="47" t="s">
        <v>78</v>
      </c>
      <c r="AX35" s="47" t="s">
        <v>78</v>
      </c>
      <c r="AY35" s="82"/>
      <c r="AZ35" s="82"/>
      <c r="BA35" s="82"/>
      <c r="BB35" s="82"/>
      <c r="BC35" s="82"/>
      <c r="BD35" s="82"/>
      <c r="BE35" s="82"/>
      <c r="BF35" s="82"/>
      <c r="BG35" s="82"/>
      <c r="BH35" s="82"/>
      <c r="BI35" s="82"/>
      <c r="BJ35" s="47" t="s">
        <v>78</v>
      </c>
      <c r="BK35" s="47" t="s">
        <v>78</v>
      </c>
      <c r="BL35" s="82"/>
      <c r="BM35" s="82"/>
      <c r="BN35" s="82"/>
      <c r="BO35" s="82"/>
      <c r="BP35" s="82"/>
      <c r="BQ35" s="82"/>
      <c r="BR35" s="82"/>
      <c r="BS35" s="47" t="s">
        <v>78</v>
      </c>
      <c r="BT35" s="47" t="s">
        <v>78</v>
      </c>
      <c r="BU35" s="47" t="s">
        <v>78</v>
      </c>
      <c r="BV35" s="47" t="s">
        <v>78</v>
      </c>
      <c r="BW35" s="47" t="s">
        <v>78</v>
      </c>
      <c r="BX35" s="82"/>
    </row>
    <row r="36" spans="1:76" ht="15.75" customHeight="1">
      <c r="A36" s="67" t="s">
        <v>147</v>
      </c>
      <c r="B36" s="79" t="s">
        <v>146</v>
      </c>
      <c r="C36" s="84" t="s">
        <v>240</v>
      </c>
      <c r="D36" s="43">
        <f t="shared" si="0"/>
        <v>34</v>
      </c>
      <c r="E36" s="80"/>
      <c r="F36" s="47" t="s">
        <v>78</v>
      </c>
      <c r="G36" s="47" t="s">
        <v>78</v>
      </c>
      <c r="H36" s="47" t="s">
        <v>78</v>
      </c>
      <c r="I36" s="80"/>
      <c r="J36" s="47" t="s">
        <v>78</v>
      </c>
      <c r="K36" s="47" t="s">
        <v>78</v>
      </c>
      <c r="L36" s="80"/>
      <c r="M36" s="47" t="s">
        <v>78</v>
      </c>
      <c r="N36" s="47" t="s">
        <v>78</v>
      </c>
      <c r="O36" s="80"/>
      <c r="P36" s="80"/>
      <c r="Q36" s="80"/>
      <c r="R36" s="80"/>
      <c r="S36" s="80"/>
      <c r="T36" s="47" t="s">
        <v>78</v>
      </c>
      <c r="U36" s="47" t="s">
        <v>78</v>
      </c>
      <c r="V36" s="47" t="s">
        <v>78</v>
      </c>
      <c r="W36" s="47" t="s">
        <v>78</v>
      </c>
      <c r="X36" s="80"/>
      <c r="Y36" s="47" t="s">
        <v>78</v>
      </c>
      <c r="Z36" s="80"/>
      <c r="AA36" s="80"/>
      <c r="AB36" s="80"/>
      <c r="AC36" s="80"/>
      <c r="AD36" s="47" t="s">
        <v>78</v>
      </c>
      <c r="AE36" s="47" t="s">
        <v>78</v>
      </c>
      <c r="AF36" s="80"/>
      <c r="AG36" s="80"/>
      <c r="AH36" s="80"/>
      <c r="AI36" s="80"/>
      <c r="AJ36" s="47" t="s">
        <v>78</v>
      </c>
      <c r="AK36" s="80"/>
      <c r="AL36" s="47" t="s">
        <v>78</v>
      </c>
      <c r="AM36" s="47" t="s">
        <v>78</v>
      </c>
      <c r="AN36" s="80"/>
      <c r="AO36" s="47" t="s">
        <v>78</v>
      </c>
      <c r="AP36" s="80"/>
      <c r="AQ36" s="80"/>
      <c r="AR36" s="80"/>
      <c r="AS36" s="80"/>
      <c r="AT36" s="47" t="s">
        <v>78</v>
      </c>
      <c r="AU36" s="80"/>
      <c r="AV36" s="47" t="s">
        <v>78</v>
      </c>
      <c r="AW36" s="80"/>
      <c r="AX36" s="80"/>
      <c r="AY36" s="47" t="s">
        <v>78</v>
      </c>
      <c r="AZ36" s="47" t="s">
        <v>78</v>
      </c>
      <c r="BA36" s="47" t="s">
        <v>78</v>
      </c>
      <c r="BB36" s="47" t="s">
        <v>78</v>
      </c>
      <c r="BC36" s="47" t="s">
        <v>78</v>
      </c>
      <c r="BD36" s="80"/>
      <c r="BE36" s="80"/>
      <c r="BF36" s="80"/>
      <c r="BG36" s="47" t="s">
        <v>78</v>
      </c>
      <c r="BH36" s="80"/>
      <c r="BI36" s="47" t="s">
        <v>78</v>
      </c>
      <c r="BJ36" s="80"/>
      <c r="BK36" s="80"/>
      <c r="BL36" s="47" t="s">
        <v>78</v>
      </c>
      <c r="BM36" s="47" t="s">
        <v>78</v>
      </c>
      <c r="BN36" s="47" t="s">
        <v>78</v>
      </c>
      <c r="BO36" s="80"/>
      <c r="BP36" s="47" t="s">
        <v>78</v>
      </c>
      <c r="BQ36" s="80"/>
      <c r="BR36" s="47" t="s">
        <v>78</v>
      </c>
      <c r="BS36" s="80"/>
      <c r="BT36" s="80"/>
      <c r="BU36" s="80"/>
      <c r="BV36" s="47" t="s">
        <v>78</v>
      </c>
      <c r="BW36" s="80"/>
      <c r="BX36" s="47" t="s">
        <v>78</v>
      </c>
    </row>
    <row r="37" spans="1:76" ht="15.75" customHeight="1">
      <c r="A37" s="68" t="s">
        <v>149</v>
      </c>
      <c r="B37" s="81" t="s">
        <v>148</v>
      </c>
      <c r="C37" s="85" t="s">
        <v>240</v>
      </c>
      <c r="D37" s="46">
        <f t="shared" si="0"/>
        <v>21</v>
      </c>
      <c r="E37" s="47" t="s">
        <v>78</v>
      </c>
      <c r="F37" s="82"/>
      <c r="G37" s="82"/>
      <c r="H37" s="82"/>
      <c r="I37" s="82"/>
      <c r="J37" s="82"/>
      <c r="K37" s="82"/>
      <c r="L37" s="82"/>
      <c r="M37" s="82"/>
      <c r="N37" s="82"/>
      <c r="O37" s="47" t="s">
        <v>78</v>
      </c>
      <c r="P37" s="47" t="s">
        <v>78</v>
      </c>
      <c r="Q37" s="47" t="s">
        <v>78</v>
      </c>
      <c r="R37" s="47" t="s">
        <v>78</v>
      </c>
      <c r="S37" s="82"/>
      <c r="T37" s="82"/>
      <c r="U37" s="82"/>
      <c r="V37" s="82"/>
      <c r="W37" s="82"/>
      <c r="X37" s="82"/>
      <c r="Y37" s="82"/>
      <c r="Z37" s="47" t="s">
        <v>78</v>
      </c>
      <c r="AA37" s="47" t="s">
        <v>78</v>
      </c>
      <c r="AB37" s="82"/>
      <c r="AC37" s="47" t="s">
        <v>78</v>
      </c>
      <c r="AD37" s="82"/>
      <c r="AE37" s="82"/>
      <c r="AF37" s="47" t="s">
        <v>78</v>
      </c>
      <c r="AG37" s="47" t="s">
        <v>78</v>
      </c>
      <c r="AH37" s="47" t="s">
        <v>78</v>
      </c>
      <c r="AI37" s="82"/>
      <c r="AJ37" s="82"/>
      <c r="AK37" s="47" t="s">
        <v>78</v>
      </c>
      <c r="AL37" s="82"/>
      <c r="AM37" s="82"/>
      <c r="AN37" s="82"/>
      <c r="AO37" s="82"/>
      <c r="AP37" s="82"/>
      <c r="AQ37" s="47" t="s">
        <v>78</v>
      </c>
      <c r="AR37" s="82"/>
      <c r="AS37" s="82"/>
      <c r="AT37" s="82"/>
      <c r="AU37" s="82"/>
      <c r="AV37" s="82"/>
      <c r="AW37" s="82"/>
      <c r="AX37" s="82"/>
      <c r="AY37" s="82"/>
      <c r="AZ37" s="82"/>
      <c r="BA37" s="82"/>
      <c r="BB37" s="82"/>
      <c r="BC37" s="82"/>
      <c r="BD37" s="47" t="s">
        <v>78</v>
      </c>
      <c r="BE37" s="47" t="s">
        <v>78</v>
      </c>
      <c r="BF37" s="47" t="s">
        <v>78</v>
      </c>
      <c r="BG37" s="82"/>
      <c r="BH37" s="47" t="s">
        <v>78</v>
      </c>
      <c r="BI37" s="82"/>
      <c r="BJ37" s="82"/>
      <c r="BK37" s="82"/>
      <c r="BL37" s="82"/>
      <c r="BM37" s="82"/>
      <c r="BN37" s="82"/>
      <c r="BO37" s="47" t="s">
        <v>78</v>
      </c>
      <c r="BP37" s="82"/>
      <c r="BQ37" s="47" t="s">
        <v>78</v>
      </c>
      <c r="BR37" s="82"/>
      <c r="BS37" s="47" t="s">
        <v>78</v>
      </c>
      <c r="BT37" s="47" t="s">
        <v>78</v>
      </c>
      <c r="BU37" s="82"/>
      <c r="BV37" s="82"/>
      <c r="BW37" s="82"/>
      <c r="BX37" s="82"/>
    </row>
    <row r="38" spans="1:76" ht="15.75" customHeight="1">
      <c r="A38" s="67" t="s">
        <v>151</v>
      </c>
      <c r="B38" s="89" t="s">
        <v>150</v>
      </c>
      <c r="C38" s="84" t="s">
        <v>240</v>
      </c>
      <c r="D38" s="43">
        <f t="shared" si="0"/>
        <v>23</v>
      </c>
      <c r="E38" s="80"/>
      <c r="F38" s="47" t="s">
        <v>78</v>
      </c>
      <c r="G38" s="47" t="s">
        <v>78</v>
      </c>
      <c r="H38" s="47" t="s">
        <v>78</v>
      </c>
      <c r="I38" s="80"/>
      <c r="J38" s="47" t="s">
        <v>78</v>
      </c>
      <c r="K38" s="47" t="s">
        <v>78</v>
      </c>
      <c r="L38" s="80"/>
      <c r="M38" s="47" t="s">
        <v>78</v>
      </c>
      <c r="N38" s="47" t="s">
        <v>78</v>
      </c>
      <c r="O38" s="80"/>
      <c r="P38" s="80"/>
      <c r="Q38" s="80"/>
      <c r="R38" s="80"/>
      <c r="S38" s="80"/>
      <c r="T38" s="47" t="s">
        <v>78</v>
      </c>
      <c r="U38" s="47" t="s">
        <v>78</v>
      </c>
      <c r="V38" s="47" t="s">
        <v>78</v>
      </c>
      <c r="W38" s="80"/>
      <c r="X38" s="80"/>
      <c r="Y38" s="80"/>
      <c r="Z38" s="80"/>
      <c r="AA38" s="80"/>
      <c r="AB38" s="80"/>
      <c r="AC38" s="80"/>
      <c r="AD38" s="47" t="s">
        <v>78</v>
      </c>
      <c r="AE38" s="47" t="s">
        <v>78</v>
      </c>
      <c r="AF38" s="80"/>
      <c r="AG38" s="80"/>
      <c r="AH38" s="80"/>
      <c r="AI38" s="80"/>
      <c r="AJ38" s="47" t="s">
        <v>78</v>
      </c>
      <c r="AK38" s="80"/>
      <c r="AL38" s="80"/>
      <c r="AM38" s="80"/>
      <c r="AN38" s="80"/>
      <c r="AO38" s="80"/>
      <c r="AP38" s="80"/>
      <c r="AQ38" s="80"/>
      <c r="AR38" s="80"/>
      <c r="AS38" s="80"/>
      <c r="AT38" s="80"/>
      <c r="AU38" s="80"/>
      <c r="AV38" s="80"/>
      <c r="AW38" s="80"/>
      <c r="AX38" s="80"/>
      <c r="AY38" s="47" t="s">
        <v>78</v>
      </c>
      <c r="AZ38" s="47" t="s">
        <v>78</v>
      </c>
      <c r="BA38" s="47" t="s">
        <v>78</v>
      </c>
      <c r="BB38" s="80"/>
      <c r="BC38" s="47" t="s">
        <v>78</v>
      </c>
      <c r="BD38" s="80"/>
      <c r="BE38" s="80"/>
      <c r="BF38" s="80"/>
      <c r="BG38" s="47" t="s">
        <v>78</v>
      </c>
      <c r="BH38" s="80"/>
      <c r="BI38" s="47" t="s">
        <v>78</v>
      </c>
      <c r="BJ38" s="80"/>
      <c r="BK38" s="80"/>
      <c r="BL38" s="47" t="s">
        <v>78</v>
      </c>
      <c r="BM38" s="47" t="s">
        <v>78</v>
      </c>
      <c r="BN38" s="47" t="s">
        <v>78</v>
      </c>
      <c r="BO38" s="80"/>
      <c r="BP38" s="80"/>
      <c r="BQ38" s="80"/>
      <c r="BR38" s="47" t="s">
        <v>78</v>
      </c>
      <c r="BS38" s="80"/>
      <c r="BT38" s="80"/>
      <c r="BU38" s="80"/>
      <c r="BV38" s="80"/>
      <c r="BW38" s="80"/>
      <c r="BX38" s="80"/>
    </row>
    <row r="39" spans="1:76" ht="15.75" customHeight="1">
      <c r="A39" s="90" t="s">
        <v>153</v>
      </c>
      <c r="B39" s="81" t="s">
        <v>152</v>
      </c>
      <c r="C39" s="85" t="s">
        <v>240</v>
      </c>
      <c r="D39" s="46">
        <f t="shared" si="0"/>
        <v>23</v>
      </c>
      <c r="E39" s="82"/>
      <c r="F39" s="47" t="s">
        <v>78</v>
      </c>
      <c r="G39" s="47" t="s">
        <v>78</v>
      </c>
      <c r="H39" s="47" t="s">
        <v>78</v>
      </c>
      <c r="I39" s="82"/>
      <c r="J39" s="47" t="s">
        <v>78</v>
      </c>
      <c r="K39" s="47" t="s">
        <v>78</v>
      </c>
      <c r="L39" s="82"/>
      <c r="M39" s="47" t="s">
        <v>78</v>
      </c>
      <c r="N39" s="47" t="s">
        <v>78</v>
      </c>
      <c r="O39" s="82"/>
      <c r="P39" s="82"/>
      <c r="Q39" s="82"/>
      <c r="R39" s="82"/>
      <c r="S39" s="82"/>
      <c r="T39" s="47" t="s">
        <v>78</v>
      </c>
      <c r="U39" s="47" t="s">
        <v>78</v>
      </c>
      <c r="V39" s="47" t="s">
        <v>78</v>
      </c>
      <c r="W39" s="82"/>
      <c r="X39" s="82"/>
      <c r="Y39" s="82"/>
      <c r="Z39" s="82"/>
      <c r="AA39" s="82"/>
      <c r="AB39" s="82"/>
      <c r="AC39" s="82"/>
      <c r="AD39" s="47" t="s">
        <v>78</v>
      </c>
      <c r="AE39" s="47" t="s">
        <v>78</v>
      </c>
      <c r="AF39" s="82"/>
      <c r="AG39" s="82"/>
      <c r="AH39" s="82"/>
      <c r="AI39" s="82"/>
      <c r="AJ39" s="47" t="s">
        <v>78</v>
      </c>
      <c r="AK39" s="82"/>
      <c r="AL39" s="82"/>
      <c r="AM39" s="82"/>
      <c r="AN39" s="82"/>
      <c r="AO39" s="82"/>
      <c r="AP39" s="82"/>
      <c r="AQ39" s="82"/>
      <c r="AR39" s="82"/>
      <c r="AS39" s="82"/>
      <c r="AT39" s="82"/>
      <c r="AU39" s="82"/>
      <c r="AV39" s="82"/>
      <c r="AW39" s="82"/>
      <c r="AX39" s="82"/>
      <c r="AY39" s="47" t="s">
        <v>78</v>
      </c>
      <c r="AZ39" s="47" t="s">
        <v>78</v>
      </c>
      <c r="BA39" s="47" t="s">
        <v>78</v>
      </c>
      <c r="BB39" s="82"/>
      <c r="BC39" s="47" t="s">
        <v>78</v>
      </c>
      <c r="BD39" s="82"/>
      <c r="BE39" s="82"/>
      <c r="BF39" s="82"/>
      <c r="BG39" s="47" t="s">
        <v>78</v>
      </c>
      <c r="BH39" s="82"/>
      <c r="BI39" s="47" t="s">
        <v>78</v>
      </c>
      <c r="BJ39" s="82"/>
      <c r="BK39" s="82"/>
      <c r="BL39" s="47" t="s">
        <v>78</v>
      </c>
      <c r="BM39" s="47" t="s">
        <v>78</v>
      </c>
      <c r="BN39" s="47" t="s">
        <v>78</v>
      </c>
      <c r="BO39" s="82"/>
      <c r="BP39" s="82"/>
      <c r="BQ39" s="82"/>
      <c r="BR39" s="47" t="s">
        <v>78</v>
      </c>
      <c r="BS39" s="82"/>
      <c r="BT39" s="82"/>
      <c r="BU39" s="82"/>
      <c r="BV39" s="82"/>
      <c r="BW39" s="82"/>
      <c r="BX39" s="82"/>
    </row>
    <row r="40" spans="1:76" ht="15.75" customHeight="1">
      <c r="A40" s="67" t="s">
        <v>155</v>
      </c>
      <c r="B40" s="79" t="s">
        <v>154</v>
      </c>
      <c r="C40" s="84" t="s">
        <v>240</v>
      </c>
      <c r="D40" s="43">
        <f t="shared" si="0"/>
        <v>11</v>
      </c>
      <c r="E40" s="80"/>
      <c r="F40" s="80"/>
      <c r="G40" s="80"/>
      <c r="H40" s="80"/>
      <c r="I40" s="80"/>
      <c r="J40" s="80"/>
      <c r="K40" s="80"/>
      <c r="L40" s="80"/>
      <c r="M40" s="80"/>
      <c r="N40" s="80"/>
      <c r="O40" s="80"/>
      <c r="P40" s="80"/>
      <c r="Q40" s="80"/>
      <c r="R40" s="47" t="s">
        <v>78</v>
      </c>
      <c r="S40" s="80"/>
      <c r="T40" s="80"/>
      <c r="U40" s="80"/>
      <c r="V40" s="80"/>
      <c r="W40" s="80"/>
      <c r="X40" s="47" t="s">
        <v>78</v>
      </c>
      <c r="Y40" s="80"/>
      <c r="Z40" s="80"/>
      <c r="AA40" s="80"/>
      <c r="AB40" s="47" t="s">
        <v>78</v>
      </c>
      <c r="AC40" s="80"/>
      <c r="AD40" s="80"/>
      <c r="AE40" s="80"/>
      <c r="AF40" s="47" t="s">
        <v>78</v>
      </c>
      <c r="AG40" s="80"/>
      <c r="AH40" s="47" t="s">
        <v>78</v>
      </c>
      <c r="AI40" s="80"/>
      <c r="AJ40" s="80"/>
      <c r="AK40" s="80"/>
      <c r="AL40" s="80"/>
      <c r="AM40" s="80"/>
      <c r="AN40" s="80"/>
      <c r="AO40" s="80"/>
      <c r="AP40" s="80"/>
      <c r="AQ40" s="80"/>
      <c r="AR40" s="80"/>
      <c r="AS40" s="47" t="s">
        <v>78</v>
      </c>
      <c r="AT40" s="80"/>
      <c r="AU40" s="80"/>
      <c r="AV40" s="80"/>
      <c r="AW40" s="80"/>
      <c r="AX40" s="47" t="s">
        <v>78</v>
      </c>
      <c r="AY40" s="80"/>
      <c r="AZ40" s="80"/>
      <c r="BA40" s="80"/>
      <c r="BB40" s="80"/>
      <c r="BC40" s="80"/>
      <c r="BD40" s="47" t="s">
        <v>78</v>
      </c>
      <c r="BE40" s="80"/>
      <c r="BF40" s="80"/>
      <c r="BG40" s="80"/>
      <c r="BH40" s="80"/>
      <c r="BI40" s="80"/>
      <c r="BJ40" s="80"/>
      <c r="BK40" s="80"/>
      <c r="BL40" s="80"/>
      <c r="BM40" s="80"/>
      <c r="BN40" s="80"/>
      <c r="BO40" s="80"/>
      <c r="BP40" s="80"/>
      <c r="BQ40" s="47" t="s">
        <v>78</v>
      </c>
      <c r="BR40" s="80"/>
      <c r="BS40" s="47" t="s">
        <v>78</v>
      </c>
      <c r="BT40" s="47" t="s">
        <v>78</v>
      </c>
      <c r="BU40" s="80"/>
      <c r="BV40" s="80"/>
      <c r="BW40" s="80"/>
      <c r="BX40" s="80"/>
    </row>
    <row r="41" spans="1:76" ht="15.75" customHeight="1">
      <c r="A41" s="68" t="s">
        <v>157</v>
      </c>
      <c r="B41" s="81" t="s">
        <v>156</v>
      </c>
      <c r="C41" s="85" t="s">
        <v>240</v>
      </c>
      <c r="D41" s="46">
        <f t="shared" si="0"/>
        <v>15</v>
      </c>
      <c r="E41" s="47" t="s">
        <v>78</v>
      </c>
      <c r="F41" s="82"/>
      <c r="G41" s="82"/>
      <c r="H41" s="82"/>
      <c r="I41" s="82"/>
      <c r="J41" s="82"/>
      <c r="K41" s="82"/>
      <c r="L41" s="82"/>
      <c r="M41" s="82"/>
      <c r="N41" s="82"/>
      <c r="O41" s="47" t="s">
        <v>78</v>
      </c>
      <c r="P41" s="47" t="s">
        <v>78</v>
      </c>
      <c r="Q41" s="47" t="s">
        <v>78</v>
      </c>
      <c r="R41" s="82"/>
      <c r="S41" s="82"/>
      <c r="T41" s="82"/>
      <c r="U41" s="82"/>
      <c r="V41" s="82"/>
      <c r="W41" s="82"/>
      <c r="X41" s="82"/>
      <c r="Y41" s="82"/>
      <c r="Z41" s="47" t="s">
        <v>78</v>
      </c>
      <c r="AA41" s="47" t="s">
        <v>78</v>
      </c>
      <c r="AB41" s="82"/>
      <c r="AC41" s="47" t="s">
        <v>78</v>
      </c>
      <c r="AD41" s="82"/>
      <c r="AE41" s="82"/>
      <c r="AF41" s="82"/>
      <c r="AG41" s="47" t="s">
        <v>78</v>
      </c>
      <c r="AH41" s="82"/>
      <c r="AI41" s="82"/>
      <c r="AJ41" s="82"/>
      <c r="AK41" s="47" t="s">
        <v>78</v>
      </c>
      <c r="AL41" s="82"/>
      <c r="AM41" s="82"/>
      <c r="AN41" s="82"/>
      <c r="AO41" s="82"/>
      <c r="AP41" s="82"/>
      <c r="AQ41" s="47" t="s">
        <v>78</v>
      </c>
      <c r="AR41" s="82"/>
      <c r="AS41" s="82"/>
      <c r="AT41" s="47" t="s">
        <v>78</v>
      </c>
      <c r="AU41" s="82"/>
      <c r="AV41" s="82"/>
      <c r="AW41" s="82"/>
      <c r="AX41" s="82"/>
      <c r="AY41" s="82"/>
      <c r="AZ41" s="82"/>
      <c r="BA41" s="82"/>
      <c r="BB41" s="82"/>
      <c r="BC41" s="82"/>
      <c r="BD41" s="82"/>
      <c r="BE41" s="47" t="s">
        <v>78</v>
      </c>
      <c r="BF41" s="47" t="s">
        <v>78</v>
      </c>
      <c r="BG41" s="82"/>
      <c r="BH41" s="47" t="s">
        <v>78</v>
      </c>
      <c r="BI41" s="82"/>
      <c r="BJ41" s="82"/>
      <c r="BK41" s="82"/>
      <c r="BL41" s="82"/>
      <c r="BM41" s="82"/>
      <c r="BN41" s="82"/>
      <c r="BO41" s="47" t="s">
        <v>78</v>
      </c>
      <c r="BP41" s="82"/>
      <c r="BQ41" s="82"/>
      <c r="BR41" s="82"/>
      <c r="BS41" s="82"/>
      <c r="BT41" s="82"/>
      <c r="BU41" s="82"/>
      <c r="BV41" s="82"/>
      <c r="BW41" s="82"/>
      <c r="BX41" s="82"/>
    </row>
    <row r="42" spans="1:76" ht="18" customHeight="1">
      <c r="A42" s="91" t="s">
        <v>378</v>
      </c>
      <c r="B42" s="91" t="s">
        <v>379</v>
      </c>
      <c r="C42" s="92"/>
      <c r="D42" s="93">
        <f t="shared" ref="D42:D61" si="1">IF(TRIM(A42)="","",COUNTIF(E42:BX42,"x"))</f>
        <v>72</v>
      </c>
      <c r="E42" s="94" t="s">
        <v>380</v>
      </c>
      <c r="F42" s="94" t="s">
        <v>380</v>
      </c>
      <c r="G42" s="94" t="s">
        <v>380</v>
      </c>
      <c r="H42" s="94" t="s">
        <v>380</v>
      </c>
      <c r="I42" s="94" t="s">
        <v>78</v>
      </c>
      <c r="J42" s="94" t="s">
        <v>78</v>
      </c>
      <c r="K42" s="94" t="s">
        <v>78</v>
      </c>
      <c r="L42" s="94" t="s">
        <v>78</v>
      </c>
      <c r="M42" s="94" t="s">
        <v>78</v>
      </c>
      <c r="N42" s="94" t="s">
        <v>78</v>
      </c>
      <c r="O42" s="94" t="s">
        <v>78</v>
      </c>
      <c r="P42" s="94" t="s">
        <v>78</v>
      </c>
      <c r="Q42" s="94" t="s">
        <v>78</v>
      </c>
      <c r="R42" s="94" t="s">
        <v>78</v>
      </c>
      <c r="S42" s="94" t="s">
        <v>78</v>
      </c>
      <c r="T42" s="94" t="s">
        <v>78</v>
      </c>
      <c r="U42" s="94" t="s">
        <v>78</v>
      </c>
      <c r="V42" s="94" t="s">
        <v>78</v>
      </c>
      <c r="W42" s="94" t="s">
        <v>78</v>
      </c>
      <c r="X42" s="94" t="s">
        <v>78</v>
      </c>
      <c r="Y42" s="94" t="s">
        <v>78</v>
      </c>
      <c r="Z42" s="94" t="s">
        <v>78</v>
      </c>
      <c r="AA42" s="94" t="s">
        <v>78</v>
      </c>
      <c r="AB42" s="94" t="s">
        <v>78</v>
      </c>
      <c r="AC42" s="94" t="s">
        <v>78</v>
      </c>
      <c r="AD42" s="94" t="s">
        <v>78</v>
      </c>
      <c r="AE42" s="94" t="s">
        <v>78</v>
      </c>
      <c r="AF42" s="94" t="s">
        <v>78</v>
      </c>
      <c r="AG42" s="94" t="s">
        <v>78</v>
      </c>
      <c r="AH42" s="94" t="s">
        <v>78</v>
      </c>
      <c r="AI42" s="94" t="s">
        <v>78</v>
      </c>
      <c r="AJ42" s="94" t="s">
        <v>78</v>
      </c>
      <c r="AK42" s="94" t="s">
        <v>78</v>
      </c>
      <c r="AL42" s="94" t="s">
        <v>78</v>
      </c>
      <c r="AM42" s="94" t="s">
        <v>78</v>
      </c>
      <c r="AN42" s="94" t="s">
        <v>78</v>
      </c>
      <c r="AO42" s="94" t="s">
        <v>78</v>
      </c>
      <c r="AP42" s="94" t="s">
        <v>78</v>
      </c>
      <c r="AQ42" s="94" t="s">
        <v>78</v>
      </c>
      <c r="AR42" s="94" t="s">
        <v>78</v>
      </c>
      <c r="AS42" s="94" t="s">
        <v>78</v>
      </c>
      <c r="AT42" s="94" t="s">
        <v>78</v>
      </c>
      <c r="AU42" s="94" t="s">
        <v>78</v>
      </c>
      <c r="AV42" s="94" t="s">
        <v>78</v>
      </c>
      <c r="AW42" s="94" t="s">
        <v>78</v>
      </c>
      <c r="AX42" s="94" t="s">
        <v>78</v>
      </c>
      <c r="AY42" s="94" t="s">
        <v>78</v>
      </c>
      <c r="AZ42" s="94" t="s">
        <v>78</v>
      </c>
      <c r="BA42" s="94" t="s">
        <v>78</v>
      </c>
      <c r="BB42" s="94" t="s">
        <v>78</v>
      </c>
      <c r="BC42" s="94" t="s">
        <v>78</v>
      </c>
      <c r="BD42" s="94" t="s">
        <v>78</v>
      </c>
      <c r="BE42" s="94" t="s">
        <v>78</v>
      </c>
      <c r="BF42" s="94" t="s">
        <v>78</v>
      </c>
      <c r="BG42" s="94" t="s">
        <v>78</v>
      </c>
      <c r="BH42" s="94" t="s">
        <v>78</v>
      </c>
      <c r="BI42" s="94" t="s">
        <v>78</v>
      </c>
      <c r="BJ42" s="94" t="s">
        <v>78</v>
      </c>
      <c r="BK42" s="94" t="s">
        <v>78</v>
      </c>
      <c r="BL42" s="94" t="s">
        <v>78</v>
      </c>
      <c r="BM42" s="94" t="s">
        <v>78</v>
      </c>
      <c r="BN42" s="94" t="s">
        <v>78</v>
      </c>
      <c r="BO42" s="94" t="s">
        <v>78</v>
      </c>
      <c r="BP42" s="94" t="s">
        <v>78</v>
      </c>
      <c r="BQ42" s="94" t="s">
        <v>78</v>
      </c>
      <c r="BR42" s="94" t="s">
        <v>78</v>
      </c>
      <c r="BS42" s="94" t="s">
        <v>78</v>
      </c>
      <c r="BT42" s="94" t="s">
        <v>78</v>
      </c>
      <c r="BU42" s="94" t="s">
        <v>78</v>
      </c>
      <c r="BV42" s="94" t="s">
        <v>78</v>
      </c>
      <c r="BW42" s="94" t="s">
        <v>78</v>
      </c>
      <c r="BX42" s="94" t="s">
        <v>78</v>
      </c>
    </row>
    <row r="43" spans="1:76" ht="18" customHeight="1">
      <c r="A43" s="95"/>
      <c r="B43" s="95"/>
      <c r="C43" s="92"/>
      <c r="D43" s="93" t="str">
        <f t="shared" si="1"/>
        <v/>
      </c>
      <c r="E43" s="96"/>
      <c r="F43" s="96"/>
      <c r="G43" s="96"/>
      <c r="H43" s="96"/>
      <c r="I43" s="96"/>
      <c r="J43" s="96"/>
      <c r="K43" s="96"/>
      <c r="L43" s="96"/>
      <c r="M43" s="96"/>
      <c r="N43" s="96"/>
      <c r="O43" s="96"/>
      <c r="P43" s="96"/>
      <c r="Q43" s="96"/>
      <c r="R43" s="96"/>
      <c r="S43" s="96"/>
      <c r="T43" s="96"/>
      <c r="U43" s="96"/>
      <c r="V43" s="96"/>
      <c r="W43" s="96"/>
      <c r="X43" s="96"/>
      <c r="Y43" s="96"/>
      <c r="Z43" s="96"/>
      <c r="AA43" s="96"/>
      <c r="AB43" s="96"/>
      <c r="AC43" s="96"/>
      <c r="AD43" s="96"/>
      <c r="AE43" s="96"/>
      <c r="AF43" s="96"/>
      <c r="AG43" s="96"/>
      <c r="AH43" s="96"/>
      <c r="AI43" s="96"/>
      <c r="AJ43" s="96"/>
      <c r="AK43" s="96"/>
      <c r="AL43" s="96"/>
      <c r="AM43" s="96"/>
      <c r="AN43" s="96"/>
      <c r="AO43" s="96"/>
      <c r="AP43" s="96"/>
      <c r="AQ43" s="96"/>
      <c r="AR43" s="96"/>
      <c r="AS43" s="96"/>
      <c r="AT43" s="96"/>
      <c r="AU43" s="96"/>
      <c r="AV43" s="96"/>
      <c r="AW43" s="96"/>
      <c r="AX43" s="96"/>
      <c r="AY43" s="96"/>
      <c r="AZ43" s="96"/>
      <c r="BA43" s="96"/>
      <c r="BB43" s="96"/>
      <c r="BC43" s="96"/>
      <c r="BD43" s="96"/>
      <c r="BE43" s="96"/>
      <c r="BF43" s="96"/>
      <c r="BG43" s="96"/>
      <c r="BH43" s="96"/>
      <c r="BI43" s="96"/>
      <c r="BJ43" s="96"/>
      <c r="BK43" s="96"/>
      <c r="BL43" s="96"/>
      <c r="BM43" s="96"/>
      <c r="BN43" s="96"/>
      <c r="BO43" s="96"/>
      <c r="BP43" s="96"/>
      <c r="BQ43" s="96"/>
      <c r="BR43" s="96"/>
      <c r="BS43" s="96"/>
      <c r="BT43" s="96"/>
      <c r="BU43" s="96"/>
      <c r="BV43" s="96"/>
      <c r="BW43" s="96"/>
      <c r="BX43" s="96"/>
    </row>
    <row r="44" spans="1:76" ht="18" customHeight="1">
      <c r="A44" s="95"/>
      <c r="B44" s="95"/>
      <c r="C44" s="92"/>
      <c r="D44" s="93" t="str">
        <f t="shared" si="1"/>
        <v/>
      </c>
      <c r="E44" s="96"/>
      <c r="F44" s="96"/>
      <c r="G44" s="96"/>
      <c r="H44" s="96"/>
      <c r="I44" s="96"/>
      <c r="J44" s="96"/>
      <c r="K44" s="96"/>
      <c r="L44" s="96"/>
      <c r="M44" s="96"/>
      <c r="N44" s="96"/>
      <c r="O44" s="96"/>
      <c r="P44" s="96"/>
      <c r="Q44" s="96"/>
      <c r="R44" s="96"/>
      <c r="S44" s="96"/>
      <c r="T44" s="96"/>
      <c r="U44" s="96"/>
      <c r="V44" s="96"/>
      <c r="W44" s="96"/>
      <c r="X44" s="96"/>
      <c r="Y44" s="96"/>
      <c r="Z44" s="96"/>
      <c r="AA44" s="96"/>
      <c r="AB44" s="96"/>
      <c r="AC44" s="96"/>
      <c r="AD44" s="96"/>
      <c r="AE44" s="96"/>
      <c r="AF44" s="96"/>
      <c r="AG44" s="96"/>
      <c r="AH44" s="96"/>
      <c r="AI44" s="96"/>
      <c r="AJ44" s="96"/>
      <c r="AK44" s="96"/>
      <c r="AL44" s="96"/>
      <c r="AM44" s="96"/>
      <c r="AN44" s="96"/>
      <c r="AO44" s="96"/>
      <c r="AP44" s="96"/>
      <c r="AQ44" s="96"/>
      <c r="AR44" s="96"/>
      <c r="AS44" s="96"/>
      <c r="AT44" s="96"/>
      <c r="AU44" s="96"/>
      <c r="AV44" s="96"/>
      <c r="AW44" s="96"/>
      <c r="AX44" s="96"/>
      <c r="AY44" s="96"/>
      <c r="AZ44" s="96"/>
      <c r="BA44" s="96"/>
      <c r="BB44" s="96"/>
      <c r="BC44" s="96"/>
      <c r="BD44" s="96"/>
      <c r="BE44" s="96"/>
      <c r="BF44" s="96"/>
      <c r="BG44" s="96"/>
      <c r="BH44" s="96"/>
      <c r="BI44" s="96"/>
      <c r="BJ44" s="96"/>
      <c r="BK44" s="96"/>
      <c r="BL44" s="96"/>
      <c r="BM44" s="96"/>
      <c r="BN44" s="96"/>
      <c r="BO44" s="96"/>
      <c r="BP44" s="96"/>
      <c r="BQ44" s="96"/>
      <c r="BR44" s="96"/>
      <c r="BS44" s="96"/>
      <c r="BT44" s="96"/>
      <c r="BU44" s="96"/>
      <c r="BV44" s="96"/>
      <c r="BW44" s="96"/>
      <c r="BX44" s="96"/>
    </row>
    <row r="45" spans="1:76" ht="18" customHeight="1">
      <c r="A45" s="95"/>
      <c r="B45" s="95"/>
      <c r="C45" s="92"/>
      <c r="D45" s="93" t="str">
        <f t="shared" si="1"/>
        <v/>
      </c>
      <c r="E45" s="96"/>
      <c r="F45" s="96"/>
      <c r="G45" s="96"/>
      <c r="H45" s="96"/>
      <c r="I45" s="96"/>
      <c r="J45" s="96"/>
      <c r="K45" s="96"/>
      <c r="L45" s="96"/>
      <c r="M45" s="96"/>
      <c r="N45" s="96"/>
      <c r="O45" s="96"/>
      <c r="P45" s="96"/>
      <c r="Q45" s="96"/>
      <c r="R45" s="96"/>
      <c r="S45" s="96"/>
      <c r="T45" s="96"/>
      <c r="U45" s="96"/>
      <c r="V45" s="96"/>
      <c r="W45" s="96"/>
      <c r="X45" s="96"/>
      <c r="Y45" s="96"/>
      <c r="Z45" s="96"/>
      <c r="AA45" s="96"/>
      <c r="AB45" s="96"/>
      <c r="AC45" s="96"/>
      <c r="AD45" s="96"/>
      <c r="AE45" s="96"/>
      <c r="AF45" s="96"/>
      <c r="AG45" s="96"/>
      <c r="AH45" s="96"/>
      <c r="AI45" s="96"/>
      <c r="AJ45" s="96"/>
      <c r="AK45" s="96"/>
      <c r="AL45" s="96"/>
      <c r="AM45" s="96"/>
      <c r="AN45" s="96"/>
      <c r="AO45" s="96"/>
      <c r="AP45" s="96"/>
      <c r="AQ45" s="96"/>
      <c r="AR45" s="96"/>
      <c r="AS45" s="96"/>
      <c r="AT45" s="96"/>
      <c r="AU45" s="96"/>
      <c r="AV45" s="96"/>
      <c r="AW45" s="96"/>
      <c r="AX45" s="96"/>
      <c r="AY45" s="96"/>
      <c r="AZ45" s="96"/>
      <c r="BA45" s="96"/>
      <c r="BB45" s="96"/>
      <c r="BC45" s="96"/>
      <c r="BD45" s="96"/>
      <c r="BE45" s="96"/>
      <c r="BF45" s="96"/>
      <c r="BG45" s="96"/>
      <c r="BH45" s="96"/>
      <c r="BI45" s="96"/>
      <c r="BJ45" s="96"/>
      <c r="BK45" s="96"/>
      <c r="BL45" s="96"/>
      <c r="BM45" s="96"/>
      <c r="BN45" s="96"/>
      <c r="BO45" s="96"/>
      <c r="BP45" s="96"/>
      <c r="BQ45" s="96"/>
      <c r="BR45" s="96"/>
      <c r="BS45" s="96"/>
      <c r="BT45" s="96"/>
      <c r="BU45" s="96"/>
      <c r="BV45" s="96"/>
      <c r="BW45" s="96"/>
      <c r="BX45" s="96"/>
    </row>
    <row r="46" spans="1:76" ht="18" customHeight="1">
      <c r="A46" s="95"/>
      <c r="B46" s="95"/>
      <c r="C46" s="92"/>
      <c r="D46" s="93" t="str">
        <f t="shared" si="1"/>
        <v/>
      </c>
      <c r="E46" s="96"/>
      <c r="F46" s="96"/>
      <c r="G46" s="96"/>
      <c r="H46" s="96"/>
      <c r="I46" s="96"/>
      <c r="J46" s="96"/>
      <c r="K46" s="96"/>
      <c r="L46" s="96"/>
      <c r="M46" s="96"/>
      <c r="N46" s="96"/>
      <c r="O46" s="96"/>
      <c r="P46" s="96"/>
      <c r="Q46" s="96"/>
      <c r="R46" s="96"/>
      <c r="S46" s="96"/>
      <c r="T46" s="96"/>
      <c r="U46" s="96"/>
      <c r="V46" s="96"/>
      <c r="W46" s="96"/>
      <c r="X46" s="96"/>
      <c r="Y46" s="96"/>
      <c r="Z46" s="96"/>
      <c r="AA46" s="96"/>
      <c r="AB46" s="96"/>
      <c r="AC46" s="96"/>
      <c r="AD46" s="96"/>
      <c r="AE46" s="96"/>
      <c r="AF46" s="96"/>
      <c r="AG46" s="96"/>
      <c r="AH46" s="96"/>
      <c r="AI46" s="96"/>
      <c r="AJ46" s="96"/>
      <c r="AK46" s="96"/>
      <c r="AL46" s="96"/>
      <c r="AM46" s="96"/>
      <c r="AN46" s="96"/>
      <c r="AO46" s="96"/>
      <c r="AP46" s="96"/>
      <c r="AQ46" s="96"/>
      <c r="AR46" s="96"/>
      <c r="AS46" s="96"/>
      <c r="AT46" s="96"/>
      <c r="AU46" s="96"/>
      <c r="AV46" s="96"/>
      <c r="AW46" s="96"/>
      <c r="AX46" s="96"/>
      <c r="AY46" s="96"/>
      <c r="AZ46" s="96"/>
      <c r="BA46" s="96"/>
      <c r="BB46" s="96"/>
      <c r="BC46" s="96"/>
      <c r="BD46" s="96"/>
      <c r="BE46" s="96"/>
      <c r="BF46" s="96"/>
      <c r="BG46" s="96"/>
      <c r="BH46" s="96"/>
      <c r="BI46" s="96"/>
      <c r="BJ46" s="96"/>
      <c r="BK46" s="96"/>
      <c r="BL46" s="96"/>
      <c r="BM46" s="96"/>
      <c r="BN46" s="96"/>
      <c r="BO46" s="96"/>
      <c r="BP46" s="96"/>
      <c r="BQ46" s="96"/>
      <c r="BR46" s="96"/>
      <c r="BS46" s="96"/>
      <c r="BT46" s="96"/>
      <c r="BU46" s="96"/>
      <c r="BV46" s="96"/>
      <c r="BW46" s="96"/>
      <c r="BX46" s="96"/>
    </row>
    <row r="47" spans="1:76" ht="18" customHeight="1">
      <c r="A47" s="95"/>
      <c r="B47" s="95"/>
      <c r="C47" s="92"/>
      <c r="D47" s="93" t="str">
        <f t="shared" si="1"/>
        <v/>
      </c>
      <c r="E47" s="96"/>
      <c r="F47" s="96"/>
      <c r="G47" s="96"/>
      <c r="H47" s="96"/>
      <c r="I47" s="96"/>
      <c r="J47" s="96"/>
      <c r="K47" s="96"/>
      <c r="L47" s="96"/>
      <c r="M47" s="96"/>
      <c r="N47" s="96"/>
      <c r="O47" s="96"/>
      <c r="P47" s="96"/>
      <c r="Q47" s="96"/>
      <c r="R47" s="96"/>
      <c r="S47" s="96"/>
      <c r="T47" s="96"/>
      <c r="U47" s="96"/>
      <c r="V47" s="96"/>
      <c r="W47" s="96"/>
      <c r="X47" s="96"/>
      <c r="Y47" s="96"/>
      <c r="Z47" s="96"/>
      <c r="AA47" s="96"/>
      <c r="AB47" s="96"/>
      <c r="AC47" s="96"/>
      <c r="AD47" s="96"/>
      <c r="AE47" s="96"/>
      <c r="AF47" s="96"/>
      <c r="AG47" s="96"/>
      <c r="AH47" s="96"/>
      <c r="AI47" s="96"/>
      <c r="AJ47" s="96"/>
      <c r="AK47" s="96"/>
      <c r="AL47" s="96"/>
      <c r="AM47" s="96"/>
      <c r="AN47" s="96"/>
      <c r="AO47" s="96"/>
      <c r="AP47" s="96"/>
      <c r="AQ47" s="96"/>
      <c r="AR47" s="96"/>
      <c r="AS47" s="96"/>
      <c r="AT47" s="96"/>
      <c r="AU47" s="96"/>
      <c r="AV47" s="96"/>
      <c r="AW47" s="96"/>
      <c r="AX47" s="96"/>
      <c r="AY47" s="96"/>
      <c r="AZ47" s="96"/>
      <c r="BA47" s="96"/>
      <c r="BB47" s="96"/>
      <c r="BC47" s="96"/>
      <c r="BD47" s="96"/>
      <c r="BE47" s="96"/>
      <c r="BF47" s="96"/>
      <c r="BG47" s="96"/>
      <c r="BH47" s="96"/>
      <c r="BI47" s="96"/>
      <c r="BJ47" s="96"/>
      <c r="BK47" s="96"/>
      <c r="BL47" s="96"/>
      <c r="BM47" s="96"/>
      <c r="BN47" s="96"/>
      <c r="BO47" s="96"/>
      <c r="BP47" s="96"/>
      <c r="BQ47" s="96"/>
      <c r="BR47" s="96"/>
      <c r="BS47" s="96"/>
      <c r="BT47" s="96"/>
      <c r="BU47" s="96"/>
      <c r="BV47" s="96"/>
      <c r="BW47" s="96"/>
      <c r="BX47" s="96"/>
    </row>
    <row r="48" spans="1:76" ht="18" customHeight="1">
      <c r="A48" s="95"/>
      <c r="B48" s="95"/>
      <c r="C48" s="92"/>
      <c r="D48" s="93" t="str">
        <f t="shared" si="1"/>
        <v/>
      </c>
      <c r="E48" s="96"/>
      <c r="F48" s="96"/>
      <c r="G48" s="96"/>
      <c r="H48" s="96"/>
      <c r="I48" s="96"/>
      <c r="J48" s="96"/>
      <c r="K48" s="96"/>
      <c r="L48" s="96"/>
      <c r="M48" s="96"/>
      <c r="N48" s="96"/>
      <c r="O48" s="96"/>
      <c r="P48" s="96"/>
      <c r="Q48" s="96"/>
      <c r="R48" s="96"/>
      <c r="S48" s="96"/>
      <c r="T48" s="96"/>
      <c r="U48" s="96"/>
      <c r="V48" s="96"/>
      <c r="W48" s="96"/>
      <c r="X48" s="96"/>
      <c r="Y48" s="96"/>
      <c r="Z48" s="96"/>
      <c r="AA48" s="96"/>
      <c r="AB48" s="96"/>
      <c r="AC48" s="96"/>
      <c r="AD48" s="96"/>
      <c r="AE48" s="96"/>
      <c r="AF48" s="96"/>
      <c r="AG48" s="96"/>
      <c r="AH48" s="96"/>
      <c r="AI48" s="96"/>
      <c r="AJ48" s="96"/>
      <c r="AK48" s="96"/>
      <c r="AL48" s="96"/>
      <c r="AM48" s="96"/>
      <c r="AN48" s="96"/>
      <c r="AO48" s="96"/>
      <c r="AP48" s="96"/>
      <c r="AQ48" s="96"/>
      <c r="AR48" s="96"/>
      <c r="AS48" s="96"/>
      <c r="AT48" s="96"/>
      <c r="AU48" s="96"/>
      <c r="AV48" s="96"/>
      <c r="AW48" s="96"/>
      <c r="AX48" s="96"/>
      <c r="AY48" s="96"/>
      <c r="AZ48" s="96"/>
      <c r="BA48" s="96"/>
      <c r="BB48" s="96"/>
      <c r="BC48" s="96"/>
      <c r="BD48" s="96"/>
      <c r="BE48" s="96"/>
      <c r="BF48" s="96"/>
      <c r="BG48" s="96"/>
      <c r="BH48" s="96"/>
      <c r="BI48" s="96"/>
      <c r="BJ48" s="96"/>
      <c r="BK48" s="96"/>
      <c r="BL48" s="96"/>
      <c r="BM48" s="96"/>
      <c r="BN48" s="96"/>
      <c r="BO48" s="96"/>
      <c r="BP48" s="96"/>
      <c r="BQ48" s="96"/>
      <c r="BR48" s="96"/>
      <c r="BS48" s="96"/>
      <c r="BT48" s="96"/>
      <c r="BU48" s="96"/>
      <c r="BV48" s="96"/>
      <c r="BW48" s="96"/>
      <c r="BX48" s="96"/>
    </row>
    <row r="49" spans="1:76" ht="18" customHeight="1">
      <c r="A49" s="95"/>
      <c r="B49" s="95"/>
      <c r="C49" s="92"/>
      <c r="D49" s="93" t="str">
        <f t="shared" si="1"/>
        <v/>
      </c>
      <c r="E49" s="96"/>
      <c r="F49" s="96"/>
      <c r="G49" s="96"/>
      <c r="H49" s="96"/>
      <c r="I49" s="96"/>
      <c r="J49" s="96"/>
      <c r="K49" s="96"/>
      <c r="L49" s="96"/>
      <c r="M49" s="96"/>
      <c r="N49" s="96"/>
      <c r="O49" s="96"/>
      <c r="P49" s="96"/>
      <c r="Q49" s="96"/>
      <c r="R49" s="96"/>
      <c r="S49" s="96"/>
      <c r="T49" s="96"/>
      <c r="U49" s="96"/>
      <c r="V49" s="96"/>
      <c r="W49" s="96"/>
      <c r="X49" s="96"/>
      <c r="Y49" s="96"/>
      <c r="Z49" s="96"/>
      <c r="AA49" s="96"/>
      <c r="AB49" s="96"/>
      <c r="AC49" s="96"/>
      <c r="AD49" s="96"/>
      <c r="AE49" s="96"/>
      <c r="AF49" s="96"/>
      <c r="AG49" s="96"/>
      <c r="AH49" s="96"/>
      <c r="AI49" s="96"/>
      <c r="AJ49" s="96"/>
      <c r="AK49" s="96"/>
      <c r="AL49" s="96"/>
      <c r="AM49" s="96"/>
      <c r="AN49" s="96"/>
      <c r="AO49" s="96"/>
      <c r="AP49" s="96"/>
      <c r="AQ49" s="96"/>
      <c r="AR49" s="96"/>
      <c r="AS49" s="96"/>
      <c r="AT49" s="96"/>
      <c r="AU49" s="96"/>
      <c r="AV49" s="96"/>
      <c r="AW49" s="96"/>
      <c r="AX49" s="96"/>
      <c r="AY49" s="96"/>
      <c r="AZ49" s="96"/>
      <c r="BA49" s="96"/>
      <c r="BB49" s="96"/>
      <c r="BC49" s="96"/>
      <c r="BD49" s="96"/>
      <c r="BE49" s="96"/>
      <c r="BF49" s="96"/>
      <c r="BG49" s="96"/>
      <c r="BH49" s="96"/>
      <c r="BI49" s="96"/>
      <c r="BJ49" s="96"/>
      <c r="BK49" s="96"/>
      <c r="BL49" s="96"/>
      <c r="BM49" s="96"/>
      <c r="BN49" s="96"/>
      <c r="BO49" s="96"/>
      <c r="BP49" s="96"/>
      <c r="BQ49" s="96"/>
      <c r="BR49" s="96"/>
      <c r="BS49" s="96"/>
      <c r="BT49" s="96"/>
      <c r="BU49" s="96"/>
      <c r="BV49" s="96"/>
      <c r="BW49" s="96"/>
      <c r="BX49" s="96"/>
    </row>
    <row r="50" spans="1:76" ht="18" customHeight="1">
      <c r="A50" s="95"/>
      <c r="B50" s="95"/>
      <c r="C50" s="92"/>
      <c r="D50" s="93" t="str">
        <f t="shared" si="1"/>
        <v/>
      </c>
      <c r="E50" s="96"/>
      <c r="F50" s="96"/>
      <c r="G50" s="96"/>
      <c r="H50" s="96"/>
      <c r="I50" s="96"/>
      <c r="J50" s="96"/>
      <c r="K50" s="96"/>
      <c r="L50" s="96"/>
      <c r="M50" s="96"/>
      <c r="N50" s="96"/>
      <c r="O50" s="96"/>
      <c r="P50" s="96"/>
      <c r="Q50" s="96"/>
      <c r="R50" s="96"/>
      <c r="S50" s="96"/>
      <c r="T50" s="96"/>
      <c r="U50" s="96"/>
      <c r="V50" s="96"/>
      <c r="W50" s="96"/>
      <c r="X50" s="96"/>
      <c r="Y50" s="96"/>
      <c r="Z50" s="96"/>
      <c r="AA50" s="96"/>
      <c r="AB50" s="96"/>
      <c r="AC50" s="96"/>
      <c r="AD50" s="96"/>
      <c r="AE50" s="96"/>
      <c r="AF50" s="96"/>
      <c r="AG50" s="96"/>
      <c r="AH50" s="96"/>
      <c r="AI50" s="96"/>
      <c r="AJ50" s="96"/>
      <c r="AK50" s="96"/>
      <c r="AL50" s="96"/>
      <c r="AM50" s="96"/>
      <c r="AN50" s="96"/>
      <c r="AO50" s="96"/>
      <c r="AP50" s="96"/>
      <c r="AQ50" s="96"/>
      <c r="AR50" s="96"/>
      <c r="AS50" s="96"/>
      <c r="AT50" s="96"/>
      <c r="AU50" s="96"/>
      <c r="AV50" s="96"/>
      <c r="AW50" s="96"/>
      <c r="AX50" s="96"/>
      <c r="AY50" s="96"/>
      <c r="AZ50" s="96"/>
      <c r="BA50" s="96"/>
      <c r="BB50" s="96"/>
      <c r="BC50" s="96"/>
      <c r="BD50" s="96"/>
      <c r="BE50" s="96"/>
      <c r="BF50" s="96"/>
      <c r="BG50" s="96"/>
      <c r="BH50" s="96"/>
      <c r="BI50" s="96"/>
      <c r="BJ50" s="96"/>
      <c r="BK50" s="96"/>
      <c r="BL50" s="96"/>
      <c r="BM50" s="96"/>
      <c r="BN50" s="96"/>
      <c r="BO50" s="96"/>
      <c r="BP50" s="96"/>
      <c r="BQ50" s="96"/>
      <c r="BR50" s="96"/>
      <c r="BS50" s="96"/>
      <c r="BT50" s="96"/>
      <c r="BU50" s="96"/>
      <c r="BV50" s="96"/>
      <c r="BW50" s="96"/>
      <c r="BX50" s="96"/>
    </row>
    <row r="51" spans="1:76" ht="18" customHeight="1">
      <c r="A51" s="95"/>
      <c r="B51" s="95"/>
      <c r="C51" s="92"/>
      <c r="D51" s="93" t="str">
        <f t="shared" si="1"/>
        <v/>
      </c>
      <c r="E51" s="96"/>
      <c r="F51" s="96"/>
      <c r="G51" s="96"/>
      <c r="H51" s="96"/>
      <c r="I51" s="96"/>
      <c r="J51" s="96"/>
      <c r="K51" s="96"/>
      <c r="L51" s="96"/>
      <c r="M51" s="96"/>
      <c r="N51" s="96"/>
      <c r="O51" s="96"/>
      <c r="P51" s="96"/>
      <c r="Q51" s="96"/>
      <c r="R51" s="96"/>
      <c r="S51" s="96"/>
      <c r="T51" s="96"/>
      <c r="U51" s="96"/>
      <c r="V51" s="96"/>
      <c r="W51" s="96"/>
      <c r="X51" s="96"/>
      <c r="Y51" s="96"/>
      <c r="Z51" s="96"/>
      <c r="AA51" s="96"/>
      <c r="AB51" s="96"/>
      <c r="AC51" s="96"/>
      <c r="AD51" s="96"/>
      <c r="AE51" s="96"/>
      <c r="AF51" s="96"/>
      <c r="AG51" s="96"/>
      <c r="AH51" s="96"/>
      <c r="AI51" s="96"/>
      <c r="AJ51" s="96"/>
      <c r="AK51" s="96"/>
      <c r="AL51" s="96"/>
      <c r="AM51" s="96"/>
      <c r="AN51" s="96"/>
      <c r="AO51" s="96"/>
      <c r="AP51" s="96"/>
      <c r="AQ51" s="96"/>
      <c r="AR51" s="96"/>
      <c r="AS51" s="96"/>
      <c r="AT51" s="96"/>
      <c r="AU51" s="96"/>
      <c r="AV51" s="96"/>
      <c r="AW51" s="96"/>
      <c r="AX51" s="96"/>
      <c r="AY51" s="96"/>
      <c r="AZ51" s="96"/>
      <c r="BA51" s="96"/>
      <c r="BB51" s="96"/>
      <c r="BC51" s="96"/>
      <c r="BD51" s="96"/>
      <c r="BE51" s="96"/>
      <c r="BF51" s="96"/>
      <c r="BG51" s="96"/>
      <c r="BH51" s="96"/>
      <c r="BI51" s="96"/>
      <c r="BJ51" s="96"/>
      <c r="BK51" s="96"/>
      <c r="BL51" s="96"/>
      <c r="BM51" s="96"/>
      <c r="BN51" s="96"/>
      <c r="BO51" s="96"/>
      <c r="BP51" s="96"/>
      <c r="BQ51" s="96"/>
      <c r="BR51" s="96"/>
      <c r="BS51" s="96"/>
      <c r="BT51" s="96"/>
      <c r="BU51" s="96"/>
      <c r="BV51" s="96"/>
      <c r="BW51" s="96"/>
      <c r="BX51" s="96"/>
    </row>
    <row r="52" spans="1:76" ht="18" customHeight="1">
      <c r="A52" s="95"/>
      <c r="B52" s="95"/>
      <c r="C52" s="92"/>
      <c r="D52" s="93" t="str">
        <f t="shared" si="1"/>
        <v/>
      </c>
      <c r="E52" s="96"/>
      <c r="F52" s="96"/>
      <c r="G52" s="96"/>
      <c r="H52" s="96"/>
      <c r="I52" s="96"/>
      <c r="J52" s="96"/>
      <c r="K52" s="96"/>
      <c r="L52" s="96"/>
      <c r="M52" s="96"/>
      <c r="N52" s="96"/>
      <c r="O52" s="96"/>
      <c r="P52" s="96"/>
      <c r="Q52" s="96"/>
      <c r="R52" s="96"/>
      <c r="S52" s="96"/>
      <c r="T52" s="96"/>
      <c r="U52" s="96"/>
      <c r="V52" s="96"/>
      <c r="W52" s="96"/>
      <c r="X52" s="96"/>
      <c r="Y52" s="96"/>
      <c r="Z52" s="96"/>
      <c r="AA52" s="96"/>
      <c r="AB52" s="96"/>
      <c r="AC52" s="96"/>
      <c r="AD52" s="96"/>
      <c r="AE52" s="96"/>
      <c r="AF52" s="96"/>
      <c r="AG52" s="96"/>
      <c r="AH52" s="96"/>
      <c r="AI52" s="96"/>
      <c r="AJ52" s="96"/>
      <c r="AK52" s="96"/>
      <c r="AL52" s="96"/>
      <c r="AM52" s="96"/>
      <c r="AN52" s="96"/>
      <c r="AO52" s="96"/>
      <c r="AP52" s="96"/>
      <c r="AQ52" s="96"/>
      <c r="AR52" s="96"/>
      <c r="AS52" s="96"/>
      <c r="AT52" s="96"/>
      <c r="AU52" s="96"/>
      <c r="AV52" s="96"/>
      <c r="AW52" s="96"/>
      <c r="AX52" s="96"/>
      <c r="AY52" s="96"/>
      <c r="AZ52" s="96"/>
      <c r="BA52" s="96"/>
      <c r="BB52" s="96"/>
      <c r="BC52" s="96"/>
      <c r="BD52" s="96"/>
      <c r="BE52" s="96"/>
      <c r="BF52" s="96"/>
      <c r="BG52" s="96"/>
      <c r="BH52" s="96"/>
      <c r="BI52" s="96"/>
      <c r="BJ52" s="96"/>
      <c r="BK52" s="96"/>
      <c r="BL52" s="96"/>
      <c r="BM52" s="96"/>
      <c r="BN52" s="96"/>
      <c r="BO52" s="96"/>
      <c r="BP52" s="96"/>
      <c r="BQ52" s="96"/>
      <c r="BR52" s="96"/>
      <c r="BS52" s="96"/>
      <c r="BT52" s="96"/>
      <c r="BU52" s="96"/>
      <c r="BV52" s="96"/>
      <c r="BW52" s="96"/>
      <c r="BX52" s="96"/>
    </row>
    <row r="53" spans="1:76" ht="18" customHeight="1">
      <c r="A53" s="95"/>
      <c r="B53" s="95"/>
      <c r="C53" s="92"/>
      <c r="D53" s="93" t="str">
        <f t="shared" si="1"/>
        <v/>
      </c>
      <c r="E53" s="96"/>
      <c r="F53" s="96"/>
      <c r="G53" s="96"/>
      <c r="H53" s="96"/>
      <c r="I53" s="96"/>
      <c r="J53" s="96"/>
      <c r="K53" s="96"/>
      <c r="L53" s="96"/>
      <c r="M53" s="96"/>
      <c r="N53" s="96"/>
      <c r="O53" s="96"/>
      <c r="P53" s="96"/>
      <c r="Q53" s="96"/>
      <c r="R53" s="96"/>
      <c r="S53" s="96"/>
      <c r="T53" s="96"/>
      <c r="U53" s="96"/>
      <c r="V53" s="96"/>
      <c r="W53" s="96"/>
      <c r="X53" s="96"/>
      <c r="Y53" s="96"/>
      <c r="Z53" s="96"/>
      <c r="AA53" s="96"/>
      <c r="AB53" s="96"/>
      <c r="AC53" s="96"/>
      <c r="AD53" s="96"/>
      <c r="AE53" s="96"/>
      <c r="AF53" s="96"/>
      <c r="AG53" s="96"/>
      <c r="AH53" s="96"/>
      <c r="AI53" s="96"/>
      <c r="AJ53" s="96"/>
      <c r="AK53" s="96"/>
      <c r="AL53" s="96"/>
      <c r="AM53" s="96"/>
      <c r="AN53" s="96"/>
      <c r="AO53" s="96"/>
      <c r="AP53" s="96"/>
      <c r="AQ53" s="96"/>
      <c r="AR53" s="96"/>
      <c r="AS53" s="96"/>
      <c r="AT53" s="96"/>
      <c r="AU53" s="96"/>
      <c r="AV53" s="96"/>
      <c r="AW53" s="96"/>
      <c r="AX53" s="96"/>
      <c r="AY53" s="96"/>
      <c r="AZ53" s="96"/>
      <c r="BA53" s="96"/>
      <c r="BB53" s="96"/>
      <c r="BC53" s="96"/>
      <c r="BD53" s="96"/>
      <c r="BE53" s="96"/>
      <c r="BF53" s="96"/>
      <c r="BG53" s="96"/>
      <c r="BH53" s="96"/>
      <c r="BI53" s="96"/>
      <c r="BJ53" s="96"/>
      <c r="BK53" s="96"/>
      <c r="BL53" s="96"/>
      <c r="BM53" s="96"/>
      <c r="BN53" s="96"/>
      <c r="BO53" s="96"/>
      <c r="BP53" s="96"/>
      <c r="BQ53" s="96"/>
      <c r="BR53" s="96"/>
      <c r="BS53" s="96"/>
      <c r="BT53" s="96"/>
      <c r="BU53" s="96"/>
      <c r="BV53" s="96"/>
      <c r="BW53" s="96"/>
      <c r="BX53" s="96"/>
    </row>
    <row r="54" spans="1:76" ht="18" customHeight="1">
      <c r="A54" s="95"/>
      <c r="B54" s="95"/>
      <c r="C54" s="92"/>
      <c r="D54" s="93" t="str">
        <f t="shared" si="1"/>
        <v/>
      </c>
      <c r="E54" s="96"/>
      <c r="F54" s="96"/>
      <c r="G54" s="96"/>
      <c r="H54" s="96"/>
      <c r="I54" s="96"/>
      <c r="J54" s="96"/>
      <c r="K54" s="96"/>
      <c r="L54" s="96"/>
      <c r="M54" s="96"/>
      <c r="N54" s="96"/>
      <c r="O54" s="96"/>
      <c r="P54" s="96"/>
      <c r="Q54" s="96"/>
      <c r="R54" s="96"/>
      <c r="S54" s="96"/>
      <c r="T54" s="96"/>
      <c r="U54" s="96"/>
      <c r="V54" s="96"/>
      <c r="W54" s="96"/>
      <c r="X54" s="96"/>
      <c r="Y54" s="96"/>
      <c r="Z54" s="96"/>
      <c r="AA54" s="96"/>
      <c r="AB54" s="96"/>
      <c r="AC54" s="96"/>
      <c r="AD54" s="96"/>
      <c r="AE54" s="96"/>
      <c r="AF54" s="96"/>
      <c r="AG54" s="96"/>
      <c r="AH54" s="96"/>
      <c r="AI54" s="96"/>
      <c r="AJ54" s="96"/>
      <c r="AK54" s="96"/>
      <c r="AL54" s="96"/>
      <c r="AM54" s="96"/>
      <c r="AN54" s="96"/>
      <c r="AO54" s="96"/>
      <c r="AP54" s="96"/>
      <c r="AQ54" s="96"/>
      <c r="AR54" s="96"/>
      <c r="AS54" s="96"/>
      <c r="AT54" s="96"/>
      <c r="AU54" s="96"/>
      <c r="AV54" s="96"/>
      <c r="AW54" s="96"/>
      <c r="AX54" s="96"/>
      <c r="AY54" s="96"/>
      <c r="AZ54" s="96"/>
      <c r="BA54" s="96"/>
      <c r="BB54" s="96"/>
      <c r="BC54" s="96"/>
      <c r="BD54" s="96"/>
      <c r="BE54" s="96"/>
      <c r="BF54" s="96"/>
      <c r="BG54" s="96"/>
      <c r="BH54" s="96"/>
      <c r="BI54" s="96"/>
      <c r="BJ54" s="96"/>
      <c r="BK54" s="96"/>
      <c r="BL54" s="96"/>
      <c r="BM54" s="96"/>
      <c r="BN54" s="96"/>
      <c r="BO54" s="96"/>
      <c r="BP54" s="96"/>
      <c r="BQ54" s="96"/>
      <c r="BR54" s="96"/>
      <c r="BS54" s="96"/>
      <c r="BT54" s="96"/>
      <c r="BU54" s="96"/>
      <c r="BV54" s="96"/>
      <c r="BW54" s="96"/>
      <c r="BX54" s="96"/>
    </row>
    <row r="55" spans="1:76" ht="18" customHeight="1">
      <c r="A55" s="95"/>
      <c r="B55" s="95"/>
      <c r="C55" s="92"/>
      <c r="D55" s="93" t="str">
        <f t="shared" si="1"/>
        <v/>
      </c>
      <c r="E55" s="96"/>
      <c r="F55" s="96"/>
      <c r="G55" s="96"/>
      <c r="H55" s="96"/>
      <c r="I55" s="96"/>
      <c r="J55" s="96"/>
      <c r="K55" s="96"/>
      <c r="L55" s="96"/>
      <c r="M55" s="96"/>
      <c r="N55" s="96"/>
      <c r="O55" s="96"/>
      <c r="P55" s="96"/>
      <c r="Q55" s="96"/>
      <c r="R55" s="96"/>
      <c r="S55" s="96"/>
      <c r="T55" s="96"/>
      <c r="U55" s="96"/>
      <c r="V55" s="96"/>
      <c r="W55" s="96"/>
      <c r="X55" s="96"/>
      <c r="Y55" s="96"/>
      <c r="Z55" s="96"/>
      <c r="AA55" s="96"/>
      <c r="AB55" s="96"/>
      <c r="AC55" s="96"/>
      <c r="AD55" s="96"/>
      <c r="AE55" s="96"/>
      <c r="AF55" s="96"/>
      <c r="AG55" s="96"/>
      <c r="AH55" s="96"/>
      <c r="AI55" s="96"/>
      <c r="AJ55" s="96"/>
      <c r="AK55" s="96"/>
      <c r="AL55" s="96"/>
      <c r="AM55" s="96"/>
      <c r="AN55" s="96"/>
      <c r="AO55" s="96"/>
      <c r="AP55" s="96"/>
      <c r="AQ55" s="96"/>
      <c r="AR55" s="96"/>
      <c r="AS55" s="96"/>
      <c r="AT55" s="96"/>
      <c r="AU55" s="96"/>
      <c r="AV55" s="96"/>
      <c r="AW55" s="96"/>
      <c r="AX55" s="96"/>
      <c r="AY55" s="96"/>
      <c r="AZ55" s="96"/>
      <c r="BA55" s="96"/>
      <c r="BB55" s="96"/>
      <c r="BC55" s="96"/>
      <c r="BD55" s="96"/>
      <c r="BE55" s="96"/>
      <c r="BF55" s="96"/>
      <c r="BG55" s="96"/>
      <c r="BH55" s="96"/>
      <c r="BI55" s="96"/>
      <c r="BJ55" s="96"/>
      <c r="BK55" s="96"/>
      <c r="BL55" s="96"/>
      <c r="BM55" s="96"/>
      <c r="BN55" s="96"/>
      <c r="BO55" s="96"/>
      <c r="BP55" s="96"/>
      <c r="BQ55" s="96"/>
      <c r="BR55" s="96"/>
      <c r="BS55" s="96"/>
      <c r="BT55" s="96"/>
      <c r="BU55" s="96"/>
      <c r="BV55" s="96"/>
      <c r="BW55" s="96"/>
      <c r="BX55" s="96"/>
    </row>
    <row r="56" spans="1:76" ht="18" customHeight="1">
      <c r="A56" s="95"/>
      <c r="B56" s="95"/>
      <c r="C56" s="92"/>
      <c r="D56" s="93" t="str">
        <f t="shared" si="1"/>
        <v/>
      </c>
      <c r="E56" s="96"/>
      <c r="F56" s="96"/>
      <c r="G56" s="96"/>
      <c r="H56" s="96"/>
      <c r="I56" s="96"/>
      <c r="J56" s="96"/>
      <c r="K56" s="96"/>
      <c r="L56" s="96"/>
      <c r="M56" s="96"/>
      <c r="N56" s="96"/>
      <c r="O56" s="96"/>
      <c r="P56" s="96"/>
      <c r="Q56" s="96"/>
      <c r="R56" s="96"/>
      <c r="S56" s="96"/>
      <c r="T56" s="96"/>
      <c r="U56" s="96"/>
      <c r="V56" s="96"/>
      <c r="W56" s="96"/>
      <c r="X56" s="96"/>
      <c r="Y56" s="96"/>
      <c r="Z56" s="96"/>
      <c r="AA56" s="96"/>
      <c r="AB56" s="96"/>
      <c r="AC56" s="96"/>
      <c r="AD56" s="96"/>
      <c r="AE56" s="96"/>
      <c r="AF56" s="96"/>
      <c r="AG56" s="96"/>
      <c r="AH56" s="96"/>
      <c r="AI56" s="96"/>
      <c r="AJ56" s="96"/>
      <c r="AK56" s="96"/>
      <c r="AL56" s="96"/>
      <c r="AM56" s="96"/>
      <c r="AN56" s="96"/>
      <c r="AO56" s="96"/>
      <c r="AP56" s="96"/>
      <c r="AQ56" s="96"/>
      <c r="AR56" s="96"/>
      <c r="AS56" s="96"/>
      <c r="AT56" s="96"/>
      <c r="AU56" s="96"/>
      <c r="AV56" s="96"/>
      <c r="AW56" s="96"/>
      <c r="AX56" s="96"/>
      <c r="AY56" s="96"/>
      <c r="AZ56" s="96"/>
      <c r="BA56" s="96"/>
      <c r="BB56" s="96"/>
      <c r="BC56" s="96"/>
      <c r="BD56" s="96"/>
      <c r="BE56" s="96"/>
      <c r="BF56" s="96"/>
      <c r="BG56" s="96"/>
      <c r="BH56" s="96"/>
      <c r="BI56" s="96"/>
      <c r="BJ56" s="96"/>
      <c r="BK56" s="96"/>
      <c r="BL56" s="96"/>
      <c r="BM56" s="96"/>
      <c r="BN56" s="96"/>
      <c r="BO56" s="96"/>
      <c r="BP56" s="96"/>
      <c r="BQ56" s="96"/>
      <c r="BR56" s="96"/>
      <c r="BS56" s="96"/>
      <c r="BT56" s="96"/>
      <c r="BU56" s="96"/>
      <c r="BV56" s="96"/>
      <c r="BW56" s="96"/>
      <c r="BX56" s="96"/>
    </row>
    <row r="57" spans="1:76" ht="18" customHeight="1">
      <c r="A57" s="95"/>
      <c r="B57" s="95"/>
      <c r="C57" s="92"/>
      <c r="D57" s="93" t="str">
        <f t="shared" si="1"/>
        <v/>
      </c>
      <c r="E57" s="96"/>
      <c r="F57" s="96"/>
      <c r="G57" s="96"/>
      <c r="H57" s="96"/>
      <c r="I57" s="96"/>
      <c r="J57" s="96"/>
      <c r="K57" s="96"/>
      <c r="L57" s="96"/>
      <c r="M57" s="96"/>
      <c r="N57" s="96"/>
      <c r="O57" s="96"/>
      <c r="P57" s="96"/>
      <c r="Q57" s="96"/>
      <c r="R57" s="96"/>
      <c r="S57" s="96"/>
      <c r="T57" s="96"/>
      <c r="U57" s="96"/>
      <c r="V57" s="96"/>
      <c r="W57" s="96"/>
      <c r="X57" s="96"/>
      <c r="Y57" s="96"/>
      <c r="Z57" s="96"/>
      <c r="AA57" s="96"/>
      <c r="AB57" s="96"/>
      <c r="AC57" s="96"/>
      <c r="AD57" s="96"/>
      <c r="AE57" s="96"/>
      <c r="AF57" s="96"/>
      <c r="AG57" s="96"/>
      <c r="AH57" s="96"/>
      <c r="AI57" s="96"/>
      <c r="AJ57" s="96"/>
      <c r="AK57" s="96"/>
      <c r="AL57" s="96"/>
      <c r="AM57" s="96"/>
      <c r="AN57" s="96"/>
      <c r="AO57" s="96"/>
      <c r="AP57" s="96"/>
      <c r="AQ57" s="96"/>
      <c r="AR57" s="96"/>
      <c r="AS57" s="96"/>
      <c r="AT57" s="96"/>
      <c r="AU57" s="96"/>
      <c r="AV57" s="96"/>
      <c r="AW57" s="96"/>
      <c r="AX57" s="96"/>
      <c r="AY57" s="96"/>
      <c r="AZ57" s="96"/>
      <c r="BA57" s="96"/>
      <c r="BB57" s="96"/>
      <c r="BC57" s="96"/>
      <c r="BD57" s="96"/>
      <c r="BE57" s="96"/>
      <c r="BF57" s="96"/>
      <c r="BG57" s="96"/>
      <c r="BH57" s="96"/>
      <c r="BI57" s="96"/>
      <c r="BJ57" s="96"/>
      <c r="BK57" s="96"/>
      <c r="BL57" s="96"/>
      <c r="BM57" s="96"/>
      <c r="BN57" s="96"/>
      <c r="BO57" s="96"/>
      <c r="BP57" s="96"/>
      <c r="BQ57" s="96"/>
      <c r="BR57" s="96"/>
      <c r="BS57" s="96"/>
      <c r="BT57" s="96"/>
      <c r="BU57" s="96"/>
      <c r="BV57" s="96"/>
      <c r="BW57" s="96"/>
      <c r="BX57" s="96"/>
    </row>
    <row r="58" spans="1:76" ht="18" customHeight="1">
      <c r="A58" s="95"/>
      <c r="B58" s="95"/>
      <c r="C58" s="92"/>
      <c r="D58" s="93" t="str">
        <f t="shared" si="1"/>
        <v/>
      </c>
      <c r="E58" s="96"/>
      <c r="F58" s="96"/>
      <c r="G58" s="96"/>
      <c r="H58" s="96"/>
      <c r="I58" s="96"/>
      <c r="J58" s="96"/>
      <c r="K58" s="96"/>
      <c r="L58" s="96"/>
      <c r="M58" s="96"/>
      <c r="N58" s="96"/>
      <c r="O58" s="96"/>
      <c r="P58" s="96"/>
      <c r="Q58" s="96"/>
      <c r="R58" s="96"/>
      <c r="S58" s="96"/>
      <c r="T58" s="96"/>
      <c r="U58" s="96"/>
      <c r="V58" s="96"/>
      <c r="W58" s="96"/>
      <c r="X58" s="96"/>
      <c r="Y58" s="96"/>
      <c r="Z58" s="96"/>
      <c r="AA58" s="96"/>
      <c r="AB58" s="96"/>
      <c r="AC58" s="96"/>
      <c r="AD58" s="96"/>
      <c r="AE58" s="96"/>
      <c r="AF58" s="96"/>
      <c r="AG58" s="96"/>
      <c r="AH58" s="96"/>
      <c r="AI58" s="96"/>
      <c r="AJ58" s="96"/>
      <c r="AK58" s="96"/>
      <c r="AL58" s="96"/>
      <c r="AM58" s="96"/>
      <c r="AN58" s="96"/>
      <c r="AO58" s="96"/>
      <c r="AP58" s="96"/>
      <c r="AQ58" s="96"/>
      <c r="AR58" s="96"/>
      <c r="AS58" s="96"/>
      <c r="AT58" s="96"/>
      <c r="AU58" s="96"/>
      <c r="AV58" s="96"/>
      <c r="AW58" s="96"/>
      <c r="AX58" s="96"/>
      <c r="AY58" s="96"/>
      <c r="AZ58" s="96"/>
      <c r="BA58" s="96"/>
      <c r="BB58" s="96"/>
      <c r="BC58" s="96"/>
      <c r="BD58" s="96"/>
      <c r="BE58" s="96"/>
      <c r="BF58" s="96"/>
      <c r="BG58" s="96"/>
      <c r="BH58" s="96"/>
      <c r="BI58" s="96"/>
      <c r="BJ58" s="96"/>
      <c r="BK58" s="96"/>
      <c r="BL58" s="96"/>
      <c r="BM58" s="96"/>
      <c r="BN58" s="96"/>
      <c r="BO58" s="96"/>
      <c r="BP58" s="96"/>
      <c r="BQ58" s="96"/>
      <c r="BR58" s="96"/>
      <c r="BS58" s="96"/>
      <c r="BT58" s="96"/>
      <c r="BU58" s="96"/>
      <c r="BV58" s="96"/>
      <c r="BW58" s="96"/>
      <c r="BX58" s="96"/>
    </row>
    <row r="59" spans="1:76" ht="18" customHeight="1">
      <c r="A59" s="95"/>
      <c r="B59" s="95"/>
      <c r="C59" s="92"/>
      <c r="D59" s="93" t="str">
        <f t="shared" si="1"/>
        <v/>
      </c>
      <c r="E59" s="96"/>
      <c r="F59" s="96"/>
      <c r="G59" s="96"/>
      <c r="H59" s="96"/>
      <c r="I59" s="96"/>
      <c r="J59" s="96"/>
      <c r="K59" s="96"/>
      <c r="L59" s="96"/>
      <c r="M59" s="96"/>
      <c r="N59" s="96"/>
      <c r="O59" s="96"/>
      <c r="P59" s="96"/>
      <c r="Q59" s="96"/>
      <c r="R59" s="96"/>
      <c r="S59" s="96"/>
      <c r="T59" s="96"/>
      <c r="U59" s="96"/>
      <c r="V59" s="96"/>
      <c r="W59" s="96"/>
      <c r="X59" s="96"/>
      <c r="Y59" s="96"/>
      <c r="Z59" s="96"/>
      <c r="AA59" s="96"/>
      <c r="AB59" s="96"/>
      <c r="AC59" s="96"/>
      <c r="AD59" s="96"/>
      <c r="AE59" s="96"/>
      <c r="AF59" s="96"/>
      <c r="AG59" s="96"/>
      <c r="AH59" s="96"/>
      <c r="AI59" s="96"/>
      <c r="AJ59" s="96"/>
      <c r="AK59" s="96"/>
      <c r="AL59" s="96"/>
      <c r="AM59" s="96"/>
      <c r="AN59" s="96"/>
      <c r="AO59" s="96"/>
      <c r="AP59" s="96"/>
      <c r="AQ59" s="96"/>
      <c r="AR59" s="96"/>
      <c r="AS59" s="96"/>
      <c r="AT59" s="96"/>
      <c r="AU59" s="96"/>
      <c r="AV59" s="96"/>
      <c r="AW59" s="96"/>
      <c r="AX59" s="96"/>
      <c r="AY59" s="96"/>
      <c r="AZ59" s="96"/>
      <c r="BA59" s="96"/>
      <c r="BB59" s="96"/>
      <c r="BC59" s="96"/>
      <c r="BD59" s="96"/>
      <c r="BE59" s="96"/>
      <c r="BF59" s="96"/>
      <c r="BG59" s="96"/>
      <c r="BH59" s="96"/>
      <c r="BI59" s="96"/>
      <c r="BJ59" s="96"/>
      <c r="BK59" s="96"/>
      <c r="BL59" s="96"/>
      <c r="BM59" s="96"/>
      <c r="BN59" s="96"/>
      <c r="BO59" s="96"/>
      <c r="BP59" s="96"/>
      <c r="BQ59" s="96"/>
      <c r="BR59" s="96"/>
      <c r="BS59" s="96"/>
      <c r="BT59" s="96"/>
      <c r="BU59" s="96"/>
      <c r="BV59" s="96"/>
      <c r="BW59" s="96"/>
      <c r="BX59" s="96"/>
    </row>
    <row r="60" spans="1:76" ht="18" customHeight="1">
      <c r="A60" s="95"/>
      <c r="B60" s="95"/>
      <c r="C60" s="92"/>
      <c r="D60" s="93" t="str">
        <f t="shared" si="1"/>
        <v/>
      </c>
      <c r="E60" s="96"/>
      <c r="F60" s="96"/>
      <c r="G60" s="96"/>
      <c r="H60" s="96"/>
      <c r="I60" s="96"/>
      <c r="J60" s="96"/>
      <c r="K60" s="96"/>
      <c r="L60" s="96"/>
      <c r="M60" s="96"/>
      <c r="N60" s="96"/>
      <c r="O60" s="96"/>
      <c r="P60" s="96"/>
      <c r="Q60" s="96"/>
      <c r="R60" s="96"/>
      <c r="S60" s="96"/>
      <c r="T60" s="96"/>
      <c r="U60" s="96"/>
      <c r="V60" s="96"/>
      <c r="W60" s="96"/>
      <c r="X60" s="96"/>
      <c r="Y60" s="96"/>
      <c r="Z60" s="96"/>
      <c r="AA60" s="96"/>
      <c r="AB60" s="96"/>
      <c r="AC60" s="96"/>
      <c r="AD60" s="96"/>
      <c r="AE60" s="96"/>
      <c r="AF60" s="96"/>
      <c r="AG60" s="96"/>
      <c r="AH60" s="96"/>
      <c r="AI60" s="96"/>
      <c r="AJ60" s="96"/>
      <c r="AK60" s="96"/>
      <c r="AL60" s="96"/>
      <c r="AM60" s="96"/>
      <c r="AN60" s="96"/>
      <c r="AO60" s="96"/>
      <c r="AP60" s="96"/>
      <c r="AQ60" s="96"/>
      <c r="AR60" s="96"/>
      <c r="AS60" s="96"/>
      <c r="AT60" s="96"/>
      <c r="AU60" s="96"/>
      <c r="AV60" s="96"/>
      <c r="AW60" s="96"/>
      <c r="AX60" s="96"/>
      <c r="AY60" s="96"/>
      <c r="AZ60" s="96"/>
      <c r="BA60" s="96"/>
      <c r="BB60" s="96"/>
      <c r="BC60" s="96"/>
      <c r="BD60" s="96"/>
      <c r="BE60" s="96"/>
      <c r="BF60" s="96"/>
      <c r="BG60" s="96"/>
      <c r="BH60" s="96"/>
      <c r="BI60" s="96"/>
      <c r="BJ60" s="96"/>
      <c r="BK60" s="96"/>
      <c r="BL60" s="96"/>
      <c r="BM60" s="96"/>
      <c r="BN60" s="96"/>
      <c r="BO60" s="96"/>
      <c r="BP60" s="96"/>
      <c r="BQ60" s="96"/>
      <c r="BR60" s="96"/>
      <c r="BS60" s="96"/>
      <c r="BT60" s="96"/>
      <c r="BU60" s="96"/>
      <c r="BV60" s="96"/>
      <c r="BW60" s="96"/>
      <c r="BX60" s="96"/>
    </row>
    <row r="61" spans="1:76" ht="18" customHeight="1">
      <c r="A61" s="95"/>
      <c r="B61" s="95"/>
      <c r="C61" s="92"/>
      <c r="D61" s="93" t="str">
        <f t="shared" si="1"/>
        <v/>
      </c>
      <c r="E61" s="96"/>
      <c r="F61" s="96"/>
      <c r="G61" s="96"/>
      <c r="H61" s="96"/>
      <c r="I61" s="96"/>
      <c r="J61" s="96"/>
      <c r="K61" s="96"/>
      <c r="L61" s="96"/>
      <c r="M61" s="96"/>
      <c r="N61" s="96"/>
      <c r="O61" s="96"/>
      <c r="P61" s="96"/>
      <c r="Q61" s="96"/>
      <c r="R61" s="96"/>
      <c r="S61" s="96"/>
      <c r="T61" s="96"/>
      <c r="U61" s="96"/>
      <c r="V61" s="96"/>
      <c r="W61" s="96"/>
      <c r="X61" s="96"/>
      <c r="Y61" s="96"/>
      <c r="Z61" s="96"/>
      <c r="AA61" s="96"/>
      <c r="AB61" s="96"/>
      <c r="AC61" s="96"/>
      <c r="AD61" s="96"/>
      <c r="AE61" s="96"/>
      <c r="AF61" s="96"/>
      <c r="AG61" s="96"/>
      <c r="AH61" s="96"/>
      <c r="AI61" s="96"/>
      <c r="AJ61" s="96"/>
      <c r="AK61" s="96"/>
      <c r="AL61" s="96"/>
      <c r="AM61" s="96"/>
      <c r="AN61" s="96"/>
      <c r="AO61" s="96"/>
      <c r="AP61" s="96"/>
      <c r="AQ61" s="96"/>
      <c r="AR61" s="96"/>
      <c r="AS61" s="96"/>
      <c r="AT61" s="96"/>
      <c r="AU61" s="96"/>
      <c r="AV61" s="96"/>
      <c r="AW61" s="96"/>
      <c r="AX61" s="96"/>
      <c r="AY61" s="96"/>
      <c r="AZ61" s="96"/>
      <c r="BA61" s="96"/>
      <c r="BB61" s="96"/>
      <c r="BC61" s="96"/>
      <c r="BD61" s="96"/>
      <c r="BE61" s="96"/>
      <c r="BF61" s="96"/>
      <c r="BG61" s="96"/>
      <c r="BH61" s="96"/>
      <c r="BI61" s="96"/>
      <c r="BJ61" s="96"/>
      <c r="BK61" s="96"/>
      <c r="BL61" s="96"/>
      <c r="BM61" s="96"/>
      <c r="BN61" s="96"/>
      <c r="BO61" s="96"/>
      <c r="BP61" s="96"/>
      <c r="BQ61" s="96"/>
      <c r="BR61" s="96"/>
      <c r="BS61" s="96"/>
      <c r="BT61" s="96"/>
      <c r="BU61" s="96"/>
      <c r="BV61" s="96"/>
      <c r="BW61" s="96"/>
      <c r="BX61" s="96"/>
    </row>
    <row r="62" spans="1:76" ht="15.75" customHeight="1"/>
    <row r="63" spans="1:76" ht="15.75" customHeight="1"/>
    <row r="64" spans="1:76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Judicatory Coverage WI</vt:lpstr>
      <vt:lpstr>Data Collection</vt:lpstr>
      <vt:lpstr>Dashboard</vt:lpstr>
      <vt:lpstr>County Overlap Map</vt:lpstr>
      <vt:lpstr>Overlap Contacts</vt:lpstr>
      <vt:lpstr>Judicatory Profiles</vt:lpstr>
      <vt:lpstr>Charts</vt:lpstr>
      <vt:lpstr>Add New Member</vt:lpstr>
      <vt:lpstr>🤝 Overlap Pairs</vt:lpstr>
      <vt:lpstr>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Elisabelle</cp:lastModifiedBy>
  <dcterms:created xsi:type="dcterms:W3CDTF">2026-03-04T04:22:13Z</dcterms:created>
  <dcterms:modified xsi:type="dcterms:W3CDTF">2026-04-17T02:19:51Z</dcterms:modified>
</cp:coreProperties>
</file>